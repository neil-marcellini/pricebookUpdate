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'wholesale'!$A$1:$D$43</definedName>
    <definedName name="_xlnm.Print_Area" localSheetId="1">'retail'!$A$1:$D$42</definedName>
  </definedNames>
  <calcPr calcId="191029" fullCalcOnLoad="1" iterate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sz val="12"/>
      <u val="single"/>
    </font>
    <font>
      <name val="Arial"/>
      <family val="2"/>
      <b val="1"/>
      <sz val="12"/>
    </font>
    <font>
      <name val="Arial"/>
      <family val="2"/>
      <b val="1"/>
      <sz val="10"/>
      <u val="single"/>
    </font>
    <font>
      <name val="Arial"/>
      <family val="2"/>
      <sz val="12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2"/>
      <u val="single"/>
    </font>
    <font>
      <name val="Arial"/>
      <family val="2"/>
      <sz val="10"/>
    </font>
    <font>
      <name val="Arial"/>
      <family val="2"/>
      <sz val="10"/>
      <u val="single"/>
    </font>
    <font>
      <name val="Calibri"/>
      <family val="2"/>
      <color rgb="FFFFFF00"/>
      <sz val="11"/>
      <scheme val="minor"/>
    </font>
    <font>
      <name val="Calibri"/>
      <family val="2"/>
      <color theme="1"/>
      <sz val="12"/>
      <scheme val="minor"/>
    </font>
    <font>
      <name val="Helvetica"/>
      <family val="2"/>
      <color rgb="FF454545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2" fontId="2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pivotButton="0" quotePrefix="0" xfId="0"/>
    <xf numFmtId="2" fontId="4" fillId="0" borderId="0" pivotButton="0" quotePrefix="0" xfId="0"/>
    <xf numFmtId="2" fontId="2" fillId="0" borderId="0" applyAlignment="1" pivotButton="0" quotePrefix="0" xfId="0">
      <alignment horizontal="right"/>
    </xf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4" fillId="0" borderId="0" applyAlignment="1" pivotButton="0" quotePrefix="0" xfId="0">
      <alignment horizontal="right"/>
    </xf>
    <xf numFmtId="4" fontId="4" fillId="0" borderId="0" pivotButton="0" quotePrefix="0" xfId="0"/>
    <xf numFmtId="2" fontId="7" fillId="0" borderId="0" applyAlignment="1" pivotButton="0" quotePrefix="0" xfId="0">
      <alignment horizontal="right"/>
    </xf>
    <xf numFmtId="4" fontId="8" fillId="0" borderId="0" pivotButton="0" quotePrefix="0" xfId="0"/>
    <xf numFmtId="2" fontId="9" fillId="0" borderId="0" applyAlignment="1" pivotButton="0" quotePrefix="0" xfId="0">
      <alignment horizontal="right"/>
    </xf>
    <xf numFmtId="4" fontId="4" fillId="0" borderId="0" applyAlignment="1" pivotButton="0" quotePrefix="0" xfId="0">
      <alignment horizontal="right"/>
    </xf>
    <xf numFmtId="4" fontId="11" fillId="0" borderId="0" pivotButton="0" quotePrefix="0" xfId="0"/>
    <xf numFmtId="4" fontId="2" fillId="0" borderId="0" applyAlignment="1" pivotButton="0" quotePrefix="0" xfId="0">
      <alignment horizontal="right"/>
    </xf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dxfs count="3"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G42"/>
  <sheetViews>
    <sheetView view="pageLayout" topLeftCell="A10" zoomScaleNormal="100" workbookViewId="0">
      <selection activeCell="D30" sqref="D30"/>
    </sheetView>
  </sheetViews>
  <sheetFormatPr baseColWidth="8" defaultColWidth="8.77734375" defaultRowHeight="15.6"/>
  <cols>
    <col width="68.109375" customWidth="1" style="3" min="1" max="1"/>
    <col hidden="1" width="23.6640625" customWidth="1" style="3" min="2" max="2"/>
    <col hidden="1" width="12.77734375" customWidth="1" style="3" min="3" max="3"/>
    <col width="18.77734375" customWidth="1" style="16" min="4" max="4"/>
    <col width="8.77734375" customWidth="1" style="3" min="5" max="5"/>
    <col width="8.77734375" customWidth="1" style="3" min="6" max="16384"/>
  </cols>
  <sheetData>
    <row r="1">
      <c r="A1" s="1" t="inlineStr">
        <is>
          <t>Finish Key</t>
        </is>
      </c>
      <c r="B1" s="2" t="inlineStr">
        <is>
          <t>EACH</t>
        </is>
      </c>
      <c r="C1" s="2" t="inlineStr">
        <is>
          <t>EACH</t>
        </is>
      </c>
    </row>
    <row r="2">
      <c r="A2" s="4" t="inlineStr">
        <is>
          <t xml:space="preserve"> Bright Brass              US3             Polished Chrome              US26                    </t>
        </is>
      </c>
      <c r="B2" s="5" t="n"/>
      <c r="C2" s="4" t="inlineStr">
        <is>
          <t xml:space="preserve">   </t>
        </is>
      </c>
      <c r="D2" s="11" t="n"/>
    </row>
    <row r="3">
      <c r="A3" s="4" t="inlineStr">
        <is>
          <t xml:space="preserve">Satin (Dull) Brass      US4             Satin Chrome                    US26D  </t>
        </is>
      </c>
      <c r="B3" s="5" t="n"/>
      <c r="C3" s="4" t="inlineStr">
        <is>
          <t xml:space="preserve">   </t>
        </is>
      </c>
      <c r="D3" s="11" t="n"/>
    </row>
    <row r="4">
      <c r="A4" s="4" t="inlineStr">
        <is>
          <t xml:space="preserve">Antique Brass           US5              Antique Nickel                  US15A          </t>
        </is>
      </c>
      <c r="B4" s="5" t="n"/>
      <c r="C4" s="4" t="inlineStr">
        <is>
          <t xml:space="preserve">  </t>
        </is>
      </c>
      <c r="D4" s="11" t="n"/>
    </row>
    <row r="5">
      <c r="A5" s="4" t="inlineStr">
        <is>
          <t xml:space="preserve">Oil Rubbed Bronze   US10B          Stainless Steel,Satin         US32D                        </t>
        </is>
      </c>
      <c r="B5" s="5" t="n"/>
      <c r="C5" s="5" t="n"/>
      <c r="D5" s="17" t="inlineStr">
        <is>
          <t>Price</t>
        </is>
      </c>
    </row>
    <row r="6">
      <c r="A6" s="4" t="inlineStr">
        <is>
          <t>Brushed/Satin Nickel US15            Black                                     1D</t>
        </is>
      </c>
      <c r="B6" s="5" t="n"/>
      <c r="C6" s="5" t="n"/>
      <c r="D6" s="17" t="inlineStr">
        <is>
          <t>Each</t>
        </is>
      </c>
    </row>
    <row r="7">
      <c r="A7" s="7" t="n"/>
      <c r="B7" s="8" t="n"/>
      <c r="C7" s="8" t="n"/>
    </row>
    <row r="8">
      <c r="A8" s="9" t="inlineStr">
        <is>
          <t xml:space="preserve">Residential Grade, 1/4 "Radius, 5/8" Radius and Square (per hinge)     </t>
        </is>
      </c>
      <c r="B8" s="10" t="n"/>
      <c r="C8" s="5" t="n"/>
      <c r="D8" s="11" t="n"/>
    </row>
    <row r="9">
      <c r="A9" s="1" t="n"/>
      <c r="B9" s="10" t="n"/>
      <c r="C9" s="5" t="n"/>
      <c r="D9" s="11" t="n"/>
    </row>
    <row r="10">
      <c r="A10" s="4" t="inlineStr">
        <is>
          <t xml:space="preserve">3 1/2 "x 3 1/2"  US3, US4, US5, US10B, US15, US26, US26D     </t>
        </is>
      </c>
      <c r="B10" s="10">
        <f>C10/1.4</f>
        <v/>
      </c>
      <c r="C10" s="11" t="n">
        <v>3</v>
      </c>
      <c r="D10" s="15" t="n">
        <v>3.5</v>
      </c>
      <c r="G10" s="18" t="n"/>
    </row>
    <row r="11">
      <c r="A11" s="4" t="inlineStr">
        <is>
          <t>4"x 4"              US3, US4, US5, US10B, US15, US26, US26D</t>
        </is>
      </c>
      <c r="B11" s="10">
        <f>C11/1.4</f>
        <v/>
      </c>
      <c r="C11" s="11" t="n">
        <v>3.5</v>
      </c>
      <c r="D11" s="15" t="n">
        <v>4</v>
      </c>
    </row>
    <row r="12">
      <c r="A12" s="4" t="n"/>
      <c r="B12" s="10" t="n"/>
      <c r="C12" s="11" t="n"/>
    </row>
    <row r="13">
      <c r="A13" s="9" t="inlineStr">
        <is>
          <t xml:space="preserve">Residential Grade 1/4 "Radius Only (per hinge)      </t>
        </is>
      </c>
      <c r="B13" s="10" t="n"/>
      <c r="C13" s="11" t="n"/>
    </row>
    <row r="14">
      <c r="A14" s="4" t="inlineStr">
        <is>
          <t>Solid Brass  3 1/2"  X  3 1/2"   US3</t>
        </is>
      </c>
      <c r="B14" s="12" t="n"/>
      <c r="C14" s="13" t="inlineStr">
        <is>
          <t>Call for Price</t>
        </is>
      </c>
      <c r="D14" s="15" t="n">
        <v>9.5</v>
      </c>
    </row>
    <row r="15">
      <c r="A15" s="4" t="inlineStr">
        <is>
          <t xml:space="preserve">Solid Brass  4" X  4"               US3  </t>
        </is>
      </c>
      <c r="B15" s="12" t="n"/>
      <c r="C15" s="13" t="inlineStr">
        <is>
          <t>Call for Price</t>
        </is>
      </c>
      <c r="D15" s="15" t="n">
        <v>12</v>
      </c>
    </row>
    <row r="16">
      <c r="A16" s="4" t="inlineStr">
        <is>
          <t>NRP 4" x 4"                       US3, US4, US5, US10B, US15, US26, US26D,</t>
        </is>
      </c>
      <c r="B16" s="12" t="n"/>
      <c r="C16" s="5" t="n">
        <v>6.5</v>
      </c>
      <c r="D16" s="15" t="n">
        <v>7.5</v>
      </c>
    </row>
    <row r="17">
      <c r="A17" s="4" t="inlineStr">
        <is>
          <t xml:space="preserve">NRP 4" x 4" Stainless </t>
        </is>
      </c>
      <c r="B17" s="12" t="n"/>
      <c r="C17" s="5" t="n">
        <v>8</v>
      </c>
      <c r="D17" s="15" t="n">
        <v>12.5</v>
      </c>
    </row>
    <row r="18">
      <c r="A18" s="4" t="inlineStr">
        <is>
          <t>Spring Hinge  3 1/2 "x 3 1/2" US4</t>
        </is>
      </c>
      <c r="B18" s="12" t="n"/>
      <c r="C18" s="5" t="n"/>
      <c r="D18" s="15" t="n">
        <v>10.5</v>
      </c>
    </row>
    <row r="19">
      <c r="A19" s="4" t="inlineStr">
        <is>
          <t xml:space="preserve">Spring Hinge  3 1/2 "x 3 1/2" US3,US5, US10B, US15, US26, US26D,       </t>
        </is>
      </c>
      <c r="B19" s="12" t="n"/>
      <c r="C19" s="5" t="n"/>
      <c r="D19" s="15" t="n">
        <v>12</v>
      </c>
    </row>
    <row r="20">
      <c r="A20" s="4" t="inlineStr">
        <is>
          <t>Spring Hinge  4"x 4"  US4</t>
        </is>
      </c>
      <c r="B20" s="12" t="n"/>
      <c r="C20" s="5" t="n"/>
      <c r="D20" s="15" t="n">
        <v>11</v>
      </c>
    </row>
    <row r="21">
      <c r="A21" s="4" t="inlineStr">
        <is>
          <t xml:space="preserve">Spring Hinge  4" x 4" US3, US5, US10B, US15, RS26, US26D, 1D    </t>
        </is>
      </c>
      <c r="B21" s="12" t="n"/>
      <c r="C21" s="5" t="n">
        <v>19</v>
      </c>
      <c r="D21" s="15" t="n">
        <v>13.5</v>
      </c>
    </row>
    <row r="22">
      <c r="B22" s="12" t="n"/>
      <c r="C22" s="5" t="n"/>
    </row>
    <row r="23">
      <c r="A23" s="9" t="inlineStr">
        <is>
          <t xml:space="preserve">Commercial Grade,  Square Corner (per hinge)     </t>
        </is>
      </c>
      <c r="B23" s="12" t="n"/>
      <c r="C23" s="5" t="n"/>
    </row>
    <row r="24">
      <c r="A24" s="4" t="inlineStr">
        <is>
          <t xml:space="preserve">Plain Bearing  3 1/2" x 3 1/2" , All finishes   </t>
        </is>
      </c>
      <c r="B24" s="14" t="n"/>
      <c r="C24" s="5" t="n">
        <v>6.5</v>
      </c>
      <c r="D24" s="15" t="n">
        <v>8.5</v>
      </c>
      <c r="F24" s="19" t="n"/>
    </row>
    <row r="25">
      <c r="A25" s="4" t="inlineStr">
        <is>
          <t xml:space="preserve">Plain Bearing  4" x 4" , All finishes          </t>
        </is>
      </c>
      <c r="B25" s="10">
        <f>C25/1.4</f>
        <v/>
      </c>
      <c r="C25" s="11" t="n">
        <v>9</v>
      </c>
      <c r="D25" s="15" t="n">
        <v>10</v>
      </c>
    </row>
    <row r="26">
      <c r="A26" s="4" t="inlineStr">
        <is>
          <t>Ball Bearing   4" x 4"  US4</t>
        </is>
      </c>
      <c r="B26" s="10">
        <f>C26/1.4</f>
        <v/>
      </c>
      <c r="C26" s="11" t="n"/>
      <c r="D26" s="15" t="n">
        <v>14</v>
      </c>
    </row>
    <row r="27">
      <c r="A27" s="4" t="inlineStr">
        <is>
          <t>Ball Bearing   4" x  4"  US3, US5, US10B, US15,  US15A,  US26, US26D</t>
        </is>
      </c>
      <c r="B27" s="10">
        <f>C27/1.4</f>
        <v/>
      </c>
      <c r="C27" s="11" t="n">
        <v>15.5</v>
      </c>
      <c r="D27" s="15" t="n">
        <v>20.5</v>
      </c>
    </row>
    <row r="28">
      <c r="A28" s="4" t="inlineStr">
        <is>
          <t>Spring Hinge  4" x 4" US3, US4, US5, US10B, US15,  US15A,  US26, US26D</t>
        </is>
      </c>
      <c r="B28" s="10">
        <f>C28/1.4</f>
        <v/>
      </c>
      <c r="C28" s="11" t="n">
        <v>21.5</v>
      </c>
      <c r="D28" s="15" t="n">
        <v>33</v>
      </c>
    </row>
    <row r="29">
      <c r="A29" s="4" t="inlineStr">
        <is>
          <t>NRP upgrade</t>
        </is>
      </c>
      <c r="B29" s="10">
        <f>C29/1.4</f>
        <v/>
      </c>
      <c r="C29" s="15" t="n">
        <v>9</v>
      </c>
      <c r="D29" s="15" t="n">
        <v>4</v>
      </c>
    </row>
    <row r="30">
      <c r="A30" s="4" t="inlineStr">
        <is>
          <t>NRP Stainless Steel 4" x 4"</t>
        </is>
      </c>
      <c r="B30" s="10" t="n"/>
      <c r="C30" s="5" t="n"/>
      <c r="D30" s="15" t="n">
        <v>17</v>
      </c>
    </row>
    <row r="31">
      <c r="A31" s="4" t="n"/>
      <c r="B31" s="10" t="n"/>
      <c r="C31" s="5" t="n"/>
      <c r="D31" s="15" t="n"/>
    </row>
    <row r="32">
      <c r="A32" s="9" t="inlineStr">
        <is>
          <t xml:space="preserve">Double Swing Floor Hinge (per hinge)     </t>
        </is>
      </c>
      <c r="B32" s="10" t="n"/>
      <c r="C32" s="5" t="n"/>
      <c r="D32" s="15" t="n"/>
    </row>
    <row r="33">
      <c r="A33" s="4" t="inlineStr">
        <is>
          <t>US4</t>
        </is>
      </c>
      <c r="B33" s="10">
        <f>C33/1.4</f>
        <v/>
      </c>
      <c r="C33" s="11" t="n">
        <v>52.5</v>
      </c>
      <c r="D33" s="15" t="n">
        <v>84</v>
      </c>
    </row>
    <row r="34">
      <c r="A34" s="4" t="inlineStr">
        <is>
          <t>US3, US5, US15, US26D</t>
        </is>
      </c>
      <c r="B34" s="10">
        <f>C34/1.4</f>
        <v/>
      </c>
      <c r="C34" s="11" t="n">
        <v>58.5</v>
      </c>
      <c r="D34" s="15" t="n">
        <v>111</v>
      </c>
    </row>
    <row r="35">
      <c r="A35" s="4" t="inlineStr">
        <is>
          <t>US10B,  US26</t>
        </is>
      </c>
      <c r="B35" s="10">
        <f>C35/1.4</f>
        <v/>
      </c>
      <c r="C35" s="11" t="n">
        <v>87</v>
      </c>
      <c r="D35" s="15" t="n">
        <v>122</v>
      </c>
    </row>
    <row r="36">
      <c r="A36" s="4" t="inlineStr">
        <is>
          <t>Prep for Installation of Double Swing Floor Hinge  (Need FO size)</t>
        </is>
      </c>
      <c r="B36" s="10">
        <f>C36/1.4</f>
        <v/>
      </c>
      <c r="C36" s="11" t="n">
        <v>69.5</v>
      </c>
      <c r="D36" s="15" t="n">
        <v>84</v>
      </c>
    </row>
    <row r="37">
      <c r="B37" s="10" t="n"/>
      <c r="C37" s="5" t="n"/>
      <c r="D37" s="15" t="n"/>
    </row>
    <row r="38">
      <c r="A38" s="9" t="inlineStr">
        <is>
          <t>Other Options</t>
        </is>
      </c>
      <c r="B38" s="10" t="n"/>
      <c r="C38" s="5" t="n"/>
      <c r="D38" s="15" t="n"/>
    </row>
    <row r="39">
      <c r="A39" s="4" t="inlineStr">
        <is>
          <t>SOSS Hinges, Cost per hinge</t>
        </is>
      </c>
      <c r="B39" s="10">
        <f>C39/1.4</f>
        <v/>
      </c>
      <c r="C39" s="15" t="n">
        <v>29.5</v>
      </c>
      <c r="D39" s="15" t="n">
        <v>55.5</v>
      </c>
    </row>
    <row r="40">
      <c r="A40" s="4" t="inlineStr">
        <is>
          <t>SOSS hinges, prep for installation</t>
        </is>
      </c>
      <c r="B40" s="10">
        <f>C40/1.4</f>
        <v/>
      </c>
      <c r="C40" s="15" t="n">
        <v>29.5</v>
      </c>
      <c r="D40" s="15" t="n">
        <v>38</v>
      </c>
    </row>
    <row r="41">
      <c r="A41" s="4" t="inlineStr">
        <is>
          <t>Bifold 3" US4  (Dichromatic)</t>
        </is>
      </c>
      <c r="B41" s="10" t="n"/>
      <c r="C41" s="15" t="n"/>
      <c r="D41" s="15" t="n">
        <v>4.5</v>
      </c>
    </row>
    <row r="42">
      <c r="A42" s="4" t="inlineStr">
        <is>
          <t xml:space="preserve">                                                                     Page 12</t>
        </is>
      </c>
      <c r="B42" s="5" t="n"/>
      <c r="C42" s="5" t="n"/>
      <c r="D42" s="11" t="n"/>
    </row>
  </sheetData>
  <conditionalFormatting sqref="A1:D41">
    <cfRule type="expression" priority="1" dxfId="0">
      <formula>MOD(ROW(),2)=1</formula>
    </cfRule>
  </conditionalFormatting>
  <pageMargins left="0.7" right="0.7" top="0.84" bottom="0.22" header="0.3" footer="0.5600000000000001"/>
  <pageSetup orientation="portrait"/>
  <headerFooter>
    <oddHeader>&amp;L&amp;"-,Bold"&amp;12 A BETTER DOOR_x000a_MATERIALS PRICE LIST&amp;C MATERIALS_x000a_HINGES&amp;R&amp;"-,Bold"&amp;12 WHOLESALE_x000a_Effective  August 15, 2020</oddHeader>
    <oddFooter>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tabSelected="1" view="pageLayout" zoomScaleNormal="100" workbookViewId="0">
      <selection activeCell="G27" sqref="G27"/>
    </sheetView>
  </sheetViews>
  <sheetFormatPr baseColWidth="8" defaultColWidth="8.77734375" defaultRowHeight="14.4"/>
  <cols>
    <col width="66.109375" customWidth="1" style="3" min="1" max="1"/>
    <col hidden="1" width="23.6640625" customWidth="1" style="3" min="2" max="2"/>
    <col hidden="1" width="12.77734375" customWidth="1" style="3" min="3" max="3"/>
    <col width="20.109375" customWidth="1" style="3" min="4" max="4"/>
    <col width="8.77734375" customWidth="1" style="3" min="5" max="5"/>
    <col width="8.77734375" customWidth="1" style="3" min="6" max="16384"/>
  </cols>
  <sheetData>
    <row r="1" ht="16.05" customHeight="1" s="3">
      <c r="A1" s="1" t="inlineStr">
        <is>
          <t>Finish Key</t>
        </is>
      </c>
      <c r="B1" s="2" t="inlineStr">
        <is>
          <t>EACH</t>
        </is>
      </c>
      <c r="C1" s="2" t="inlineStr">
        <is>
          <t>EACH</t>
        </is>
      </c>
    </row>
    <row r="2" ht="16.05" customHeight="1" s="3">
      <c r="A2" s="4" t="inlineStr">
        <is>
          <t xml:space="preserve">Bright Brass              US3             Polished Chrome                  US26                    </t>
        </is>
      </c>
      <c r="B2" s="5" t="n"/>
      <c r="C2" s="4" t="inlineStr">
        <is>
          <t xml:space="preserve">   </t>
        </is>
      </c>
      <c r="D2" s="5" t="n"/>
    </row>
    <row r="3" ht="16.05" customHeight="1" s="3">
      <c r="A3" s="4" t="inlineStr">
        <is>
          <t xml:space="preserve">Satin (Dull) Brass      US4             Satin Chrome                       US26D  </t>
        </is>
      </c>
      <c r="B3" s="5" t="n"/>
      <c r="C3" s="4" t="inlineStr">
        <is>
          <t xml:space="preserve">   </t>
        </is>
      </c>
      <c r="D3" s="5" t="n"/>
    </row>
    <row r="4" ht="16.05" customHeight="1" s="3">
      <c r="A4" s="4" t="inlineStr">
        <is>
          <t xml:space="preserve">Antique Brass           US5              Antique Nickel                     US15A          </t>
        </is>
      </c>
      <c r="B4" s="5" t="n"/>
      <c r="C4" s="4" t="inlineStr">
        <is>
          <t xml:space="preserve">  </t>
        </is>
      </c>
      <c r="D4" s="5" t="n"/>
    </row>
    <row r="5" ht="16.05" customHeight="1" s="3">
      <c r="A5" s="4" t="inlineStr">
        <is>
          <t xml:space="preserve">Oil Rubbed Bronze   US10B        Stainless Steel,Satin             US32D                        </t>
        </is>
      </c>
      <c r="B5" s="5" t="n"/>
      <c r="C5" s="5" t="n"/>
      <c r="D5" s="6" t="inlineStr">
        <is>
          <t>Price</t>
        </is>
      </c>
    </row>
    <row r="6" ht="16.05" customHeight="1" s="3">
      <c r="A6" s="4" t="inlineStr">
        <is>
          <t>Satin Nickel               US15          Black                                         1D</t>
        </is>
      </c>
      <c r="B6" s="5" t="n"/>
      <c r="C6" s="5" t="n"/>
      <c r="D6" s="6" t="inlineStr">
        <is>
          <t>Each</t>
        </is>
      </c>
    </row>
    <row r="7" ht="16.05" customHeight="1" s="3">
      <c r="A7" s="7" t="n"/>
      <c r="B7" s="8" t="n"/>
      <c r="C7" s="8" t="n"/>
    </row>
    <row r="8" ht="16.05" customHeight="1" s="3">
      <c r="A8" s="9" t="inlineStr">
        <is>
          <t xml:space="preserve">Residential Grade, 1/4 "Radius, 5/8" Radius and Square (per hinge)     </t>
        </is>
      </c>
      <c r="B8" s="10" t="n"/>
      <c r="C8" s="5" t="n"/>
      <c r="D8" s="5" t="n"/>
    </row>
    <row r="9" ht="16.05" customHeight="1" s="3">
      <c r="A9" s="1" t="n"/>
      <c r="B9" s="10" t="n"/>
      <c r="C9" s="5" t="n"/>
      <c r="D9" s="5" t="n"/>
    </row>
    <row r="10" ht="16.05" customHeight="1" s="3">
      <c r="A10" s="4" t="inlineStr">
        <is>
          <t>3 1/2 "x 3 1/2" US3, US4, US5, US10B, US15, US26, US26D,</t>
        </is>
      </c>
      <c r="B10" s="10">
        <f>C10/1.4</f>
        <v/>
      </c>
      <c r="C10" s="11" t="n">
        <v>2</v>
      </c>
      <c r="D10" s="10">
        <f>wholesale!D10*2</f>
        <v/>
      </c>
    </row>
    <row r="11" ht="16.05" customHeight="1" s="3">
      <c r="A11" s="4" t="inlineStr">
        <is>
          <t>4"x 4" US3, US4, US5, US10B, US15, US26, US26D,</t>
        </is>
      </c>
      <c r="B11" s="10">
        <f>C11/1.4</f>
        <v/>
      </c>
      <c r="C11" s="11" t="n">
        <v>2.5</v>
      </c>
      <c r="D11" s="10">
        <f>wholesale!D11*2</f>
        <v/>
      </c>
    </row>
    <row r="12" ht="16.05" customHeight="1" s="3">
      <c r="A12" s="4" t="n"/>
      <c r="B12" s="10" t="n"/>
      <c r="C12" s="11" t="n"/>
      <c r="D12" s="10" t="n"/>
    </row>
    <row r="13" ht="16.05" customHeight="1" s="3">
      <c r="A13" s="9" t="inlineStr">
        <is>
          <t>Residential Grade, 1/4 "Radius Only (per hinge)</t>
        </is>
      </c>
      <c r="B13" s="10" t="n"/>
      <c r="C13" s="11" t="n"/>
      <c r="D13" s="10" t="n"/>
    </row>
    <row r="14" ht="16.05" customHeight="1" s="3">
      <c r="A14" s="4" t="inlineStr">
        <is>
          <t>Solid Brass, US3, 3 1/2" X  3 1/2"</t>
        </is>
      </c>
      <c r="B14" s="12" t="n"/>
      <c r="C14" s="13" t="inlineStr">
        <is>
          <t>Call for Price</t>
        </is>
      </c>
      <c r="D14" s="10">
        <f>wholesale!D14*2</f>
        <v/>
      </c>
    </row>
    <row r="15" ht="16.05" customHeight="1" s="3">
      <c r="A15" s="4" t="inlineStr">
        <is>
          <t>Solid Brass   US3,  4" X  4"</t>
        </is>
      </c>
      <c r="B15" s="12" t="n"/>
      <c r="C15" s="13" t="inlineStr">
        <is>
          <t>Call for Price</t>
        </is>
      </c>
      <c r="D15" s="10">
        <f>wholesale!D15*2</f>
        <v/>
      </c>
    </row>
    <row r="16" ht="16.05" customHeight="1" s="3">
      <c r="A16" s="4" t="inlineStr">
        <is>
          <t>NRP 4" x 4"   US3, US4, US5, US10B, US15, US26, US26D,</t>
        </is>
      </c>
      <c r="B16" s="12" t="n"/>
      <c r="C16" s="5" t="n">
        <v>5</v>
      </c>
      <c r="D16" s="10">
        <f>wholesale!D16*2</f>
        <v/>
      </c>
    </row>
    <row r="17" ht="16.05" customHeight="1" s="3">
      <c r="A17" s="4" t="inlineStr">
        <is>
          <t xml:space="preserve">NRP 4" x 4" Stainless </t>
        </is>
      </c>
      <c r="B17" s="12" t="n"/>
      <c r="C17" s="5" t="n">
        <v>6.49</v>
      </c>
      <c r="D17" s="10">
        <f>wholesale!D17*2</f>
        <v/>
      </c>
    </row>
    <row r="18" ht="16.05" customHeight="1" s="3">
      <c r="A18" s="4" t="inlineStr">
        <is>
          <t>Spring Hinge,3 1/2 "x 3 1/2" US4</t>
        </is>
      </c>
      <c r="B18" s="12" t="n"/>
      <c r="C18" s="5" t="n"/>
      <c r="D18" s="10">
        <f>wholesale!D18*2</f>
        <v/>
      </c>
    </row>
    <row r="19" ht="16.05" customHeight="1" s="3">
      <c r="A19" s="4" t="inlineStr">
        <is>
          <t xml:space="preserve">Spring Hinge, 3 1/2 "x 3 1/2" US3,US5, US10B, US15, US26, US26D, </t>
        </is>
      </c>
      <c r="B19" s="12" t="n"/>
      <c r="C19" s="5" t="n"/>
      <c r="D19" s="10">
        <f>wholesale!D19*2</f>
        <v/>
      </c>
    </row>
    <row r="20" ht="16.05" customHeight="1" s="3">
      <c r="A20" s="4" t="inlineStr">
        <is>
          <t>Spring Hinge,  4"x 4" US4</t>
        </is>
      </c>
      <c r="B20" s="12" t="n"/>
      <c r="C20" s="5" t="n"/>
      <c r="D20" s="10">
        <f>wholesale!D20*2</f>
        <v/>
      </c>
    </row>
    <row r="21" ht="16.05" customHeight="1" s="3">
      <c r="A21" s="4" t="inlineStr">
        <is>
          <t>Spring Hinge , 4" x 4"US3, US5, US10B, US15, RS26, US26D, 1D</t>
        </is>
      </c>
      <c r="B21" s="12" t="n"/>
      <c r="C21" s="5" t="n">
        <v>16</v>
      </c>
      <c r="D21" s="10">
        <f>wholesale!D21*2</f>
        <v/>
      </c>
    </row>
    <row r="22" ht="16.05" customHeight="1" s="3">
      <c r="B22" s="12" t="n"/>
      <c r="C22" s="5" t="n"/>
      <c r="D22" s="10" t="n"/>
    </row>
    <row r="23" ht="16.05" customHeight="1" s="3">
      <c r="A23" s="9" t="inlineStr">
        <is>
          <t>Commercial Grade,  Square Corner (per hinge)</t>
        </is>
      </c>
      <c r="B23" s="12" t="n"/>
      <c r="C23" s="5" t="n"/>
      <c r="D23" s="10" t="n"/>
    </row>
    <row r="24" ht="16.05" customHeight="1" s="3">
      <c r="A24" s="4" t="inlineStr">
        <is>
          <t>Plain Bearing  3 1/2" x 3 1/2" , All finishes</t>
        </is>
      </c>
      <c r="B24" s="14" t="n"/>
      <c r="C24" s="5" t="n">
        <v>5</v>
      </c>
      <c r="D24" s="10">
        <f>wholesale!D24*2</f>
        <v/>
      </c>
    </row>
    <row r="25" ht="16.05" customHeight="1" s="3">
      <c r="A25" s="4" t="inlineStr">
        <is>
          <t>Plain Bearing  4" x 4" , All finishes</t>
        </is>
      </c>
      <c r="B25" s="10">
        <f>C25/1.4</f>
        <v/>
      </c>
      <c r="C25" s="11" t="n">
        <v>7.5</v>
      </c>
      <c r="D25" s="10">
        <f>wholesale!D25*2</f>
        <v/>
      </c>
    </row>
    <row r="26" ht="16.05" customHeight="1" s="3">
      <c r="A26" s="4" t="inlineStr">
        <is>
          <t>Ball Bearing 4" x 4"  US4</t>
        </is>
      </c>
      <c r="B26" s="10">
        <f>C26/1.4</f>
        <v/>
      </c>
      <c r="C26" s="11" t="n"/>
      <c r="D26" s="10">
        <f>wholesale!D26*2</f>
        <v/>
      </c>
    </row>
    <row r="27" ht="16.05" customHeight="1" s="3">
      <c r="A27" s="4" t="inlineStr">
        <is>
          <t>Ball Bearing 4" x  4"  ,US3, US4, US5, US10B, US15,  US15A,  US26, US26D</t>
        </is>
      </c>
      <c r="B27" s="10">
        <f>C27/1.4</f>
        <v/>
      </c>
      <c r="C27" s="11" t="n">
        <v>13</v>
      </c>
      <c r="D27" s="10">
        <f>wholesale!D27*2</f>
        <v/>
      </c>
    </row>
    <row r="28" ht="16.05" customHeight="1" s="3">
      <c r="A28" s="4" t="inlineStr">
        <is>
          <t>Spring Hinge, 4" x 4" US3, US4, US5, US10B, US15,  US15A,  US26, US26D</t>
        </is>
      </c>
      <c r="B28" s="10">
        <f>C28/1.4</f>
        <v/>
      </c>
      <c r="C28" s="11" t="n">
        <v>18.5</v>
      </c>
      <c r="D28" s="10">
        <f>wholesale!D28*2</f>
        <v/>
      </c>
    </row>
    <row r="29" ht="16.05" customHeight="1" s="3">
      <c r="A29" s="4" t="inlineStr">
        <is>
          <t>NRP upgrade</t>
        </is>
      </c>
      <c r="B29" s="10">
        <f>C29/1.4</f>
        <v/>
      </c>
      <c r="C29" s="15" t="n">
        <v>7.5</v>
      </c>
      <c r="D29" s="10">
        <f>wholesale!D29*2</f>
        <v/>
      </c>
    </row>
    <row r="30" ht="16.05" customHeight="1" s="3">
      <c r="A30" s="4" t="inlineStr">
        <is>
          <t>NRP Stainless Steel 4" x 4"</t>
        </is>
      </c>
      <c r="B30" s="10" t="n"/>
      <c r="C30" s="15" t="n"/>
      <c r="D30" s="10" t="n">
        <v>30</v>
      </c>
    </row>
    <row r="31" ht="16.05" customHeight="1" s="3">
      <c r="A31" s="4" t="n"/>
      <c r="B31" s="10" t="n"/>
      <c r="C31" s="5" t="n"/>
      <c r="D31" s="10" t="n"/>
    </row>
    <row r="32" ht="16.05" customHeight="1" s="3">
      <c r="A32" s="9" t="inlineStr">
        <is>
          <t>Double Swing Floor Hinge (per hinge)</t>
        </is>
      </c>
      <c r="B32" s="10" t="n"/>
      <c r="C32" s="5" t="n"/>
      <c r="D32" s="10" t="n"/>
    </row>
    <row r="33" ht="16.05" customHeight="1" s="3">
      <c r="A33" s="4" t="inlineStr">
        <is>
          <t>US4</t>
        </is>
      </c>
      <c r="B33" s="10">
        <f>C33/1.4</f>
        <v/>
      </c>
      <c r="C33" s="11" t="n">
        <v>45</v>
      </c>
      <c r="D33" s="10">
        <f>wholesale!D33*2</f>
        <v/>
      </c>
    </row>
    <row r="34" ht="16.05" customHeight="1" s="3">
      <c r="A34" s="4" t="inlineStr">
        <is>
          <t>US3, US5, US15, US26D</t>
        </is>
      </c>
      <c r="B34" s="10">
        <f>C34/1.4</f>
        <v/>
      </c>
      <c r="C34" s="11" t="n">
        <v>50</v>
      </c>
      <c r="D34" s="10">
        <f>wholesale!D34*2</f>
        <v/>
      </c>
    </row>
    <row r="35" ht="16.05" customHeight="1" s="3">
      <c r="A35" s="4" t="inlineStr">
        <is>
          <t>US10B,  US26</t>
        </is>
      </c>
      <c r="B35" s="10">
        <f>C35/1.4</f>
        <v/>
      </c>
      <c r="C35" s="11" t="n">
        <v>75</v>
      </c>
      <c r="D35" s="10">
        <f>wholesale!D35*2</f>
        <v/>
      </c>
    </row>
    <row r="36" ht="16.05" customHeight="1" s="3">
      <c r="A36" s="4" t="inlineStr">
        <is>
          <t>Prep for Installation of Double Swing Floor Hinge</t>
        </is>
      </c>
      <c r="B36" s="10">
        <f>C36/1.4</f>
        <v/>
      </c>
      <c r="C36" s="11" t="n">
        <v>60</v>
      </c>
      <c r="D36" s="10">
        <f>wholesale!D36*2</f>
        <v/>
      </c>
    </row>
    <row r="37" ht="16.05" customHeight="1" s="3">
      <c r="B37" s="10" t="n"/>
      <c r="C37" s="5" t="n"/>
      <c r="D37" s="10" t="n"/>
    </row>
    <row r="38" ht="16.05" customHeight="1" s="3">
      <c r="A38" s="9" t="inlineStr">
        <is>
          <t>Other Options</t>
        </is>
      </c>
      <c r="B38" s="10" t="n"/>
      <c r="C38" s="5" t="n"/>
      <c r="D38" s="10" t="n"/>
    </row>
    <row r="39" ht="16.05" customHeight="1" s="3">
      <c r="A39" s="4" t="inlineStr">
        <is>
          <t>SOSS Hinges, Cost per hinge</t>
        </is>
      </c>
      <c r="B39" s="10">
        <f>C39/1.4</f>
        <v/>
      </c>
      <c r="C39" s="15" t="n">
        <v>25</v>
      </c>
      <c r="D39" s="10">
        <f>wholesale!D39*2</f>
        <v/>
      </c>
    </row>
    <row r="40" ht="16.05" customHeight="1" s="3">
      <c r="A40" s="4" t="inlineStr">
        <is>
          <t>SOSS hinges, prep for installation</t>
        </is>
      </c>
      <c r="B40" s="10">
        <f>C40/1.4</f>
        <v/>
      </c>
      <c r="C40" s="15" t="n">
        <v>25</v>
      </c>
      <c r="D40" s="10">
        <f>wholesale!D40*2</f>
        <v/>
      </c>
    </row>
    <row r="41" ht="16.05" customHeight="1" s="3">
      <c r="A41" s="4" t="inlineStr">
        <is>
          <t>Bifold 3" US4  (Dichromatic)</t>
        </is>
      </c>
      <c r="B41" s="5" t="n"/>
      <c r="C41" s="5" t="n"/>
      <c r="D41" s="10">
        <f>wholesale!D41*2</f>
        <v/>
      </c>
    </row>
    <row r="42">
      <c r="A42" t="inlineStr">
        <is>
          <t xml:space="preserve">                                                                      Page 12</t>
        </is>
      </c>
    </row>
  </sheetData>
  <conditionalFormatting sqref="A1:D29 A31:D41 B30:D30">
    <cfRule type="expression" priority="2" dxfId="0">
      <formula>MOD(ROW(),2)=1</formula>
    </cfRule>
  </conditionalFormatting>
  <conditionalFormatting sqref="A30">
    <cfRule type="expression" priority="1" dxfId="0">
      <formula>MOD(ROW(),2)=1</formula>
    </cfRule>
  </conditionalFormatting>
  <pageMargins left="0.7" right="0.7" top="0.9399999999999999" bottom="0.57" header="0.3" footer="0.3"/>
  <pageSetup orientation="portrait"/>
  <headerFooter>
    <oddHeader>&amp;L&amp;"-,Bold"&amp;12 A BETTER DOOR_x000a_MATERIALS PRICE LIST&amp;C&amp;"-,Bold"&amp;12 MATERIALS_x000a_HINGES&amp;R&amp;"-,Bold"&amp;12 RETAIL PRICES_x000a_EFFECTIVE August 15, 2020</oddHeader>
    <oddFooter>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Marcia</dc:creator>
  <dcterms:created xsi:type="dcterms:W3CDTF">2011-01-09T18:37:41Z</dcterms:created>
  <dcterms:modified xsi:type="dcterms:W3CDTF">2020-07-25T18:24:28Z</dcterms:modified>
  <cp:lastModifiedBy>Margo</cp:lastModifiedBy>
  <cp:lastPrinted>2020-07-25T18:23:56Z</cp:lastPrinted>
</cp:coreProperties>
</file>