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wholesale" sheetId="1" state="visible" r:id="rId1"/>
    <sheet name="retail" sheetId="2" state="visible" r:id="rId2"/>
  </sheets>
  <definedNames>
    <definedName name="_xlnm.Print_Area" localSheetId="1">'retail'!$A$1:$G$51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</fonts>
  <fills count="3">
    <fill>
      <patternFill/>
    </fill>
    <fill>
      <patternFill patternType="gray125"/>
    </fill>
    <fill>
      <patternFill patternType="gray125"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2">
    <xf numFmtId="0" fontId="0" fillId="0" borderId="0" pivotButton="0" quotePrefix="0" xfId="0"/>
    <xf numFmtId="0" fontId="0" fillId="1" borderId="0" pivotButton="0" quotePrefix="0" xfId="0"/>
    <xf numFmtId="0" fontId="1" fillId="1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2" applyAlignment="1" pivotButton="0" quotePrefix="0" xfId="0">
      <alignment horizontal="center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">
    <dxf>
      <fill>
        <patternFill patternType="lightGray"/>
      </fill>
    </dxf>
    <dxf>
      <fill>
        <patternFill patternType="lightGray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G52"/>
  <sheetViews>
    <sheetView view="pageLayout" zoomScale="130" zoomScaleNormal="130" zoomScalePageLayoutView="130" workbookViewId="0">
      <selection activeCell="D2" sqref="D2"/>
    </sheetView>
  </sheetViews>
  <sheetFormatPr baseColWidth="8" defaultColWidth="8.7109375" defaultRowHeight="12.75"/>
  <cols>
    <col width="13.42578125" customWidth="1" style="10" min="1" max="1"/>
    <col width="14" customWidth="1" style="13" min="2" max="2"/>
    <col width="12.28515625" customWidth="1" style="13" min="3" max="3"/>
    <col width="13.28515625" customWidth="1" style="13" min="4" max="4"/>
    <col width="13.42578125" customWidth="1" style="13" min="5" max="5"/>
    <col width="12.140625" customWidth="1" style="13" min="6" max="6"/>
    <col width="13" customWidth="1" style="13" min="7" max="7"/>
  </cols>
  <sheetData>
    <row r="1" customFormat="1" s="1">
      <c r="A1" s="7" t="inlineStr">
        <is>
          <t>JAMB TYPE</t>
        </is>
      </c>
      <c r="B1" s="8" t="inlineStr">
        <is>
          <t>7/0 &amp; 8/0  SNGL</t>
        </is>
      </c>
      <c r="C1" s="8" t="inlineStr">
        <is>
          <t>7/0 &amp; 8/0  DBL</t>
        </is>
      </c>
      <c r="D1" s="9" t="inlineStr">
        <is>
          <t>7/0 &amp; 8/0 SNGL</t>
        </is>
      </c>
      <c r="E1" s="9" t="inlineStr">
        <is>
          <t>7/0 &amp; 8/0 SNGL</t>
        </is>
      </c>
      <c r="F1" s="9" t="inlineStr">
        <is>
          <t>7/0 &amp; 8/0 DBL</t>
        </is>
      </c>
      <c r="G1" s="9" t="inlineStr">
        <is>
          <t>7/0 &amp; 8/0 DBL</t>
        </is>
      </c>
    </row>
    <row r="2">
      <c r="A2" s="7" t="inlineStr">
        <is>
          <t>AND SIZE</t>
        </is>
      </c>
      <c r="B2" s="19" t="n"/>
      <c r="C2" s="19" t="n"/>
      <c r="D2" s="21" t="inlineStr">
        <is>
          <t>+ 1 SIDELITE</t>
        </is>
      </c>
      <c r="E2" s="21" t="inlineStr">
        <is>
          <t>+ 2 SIDELITES</t>
        </is>
      </c>
      <c r="F2" s="8" t="inlineStr">
        <is>
          <t>+ 1 SIDELITE</t>
        </is>
      </c>
      <c r="G2" s="8" t="inlineStr">
        <is>
          <t>+ 2 SIDELITES</t>
        </is>
      </c>
    </row>
    <row r="3" customFormat="1" s="1">
      <c r="A3" s="7" t="n"/>
      <c r="B3" s="13" t="n"/>
      <c r="C3" s="13" t="n"/>
      <c r="D3" s="14" t="inlineStr">
        <is>
          <t>**</t>
        </is>
      </c>
      <c r="E3" s="14" t="inlineStr">
        <is>
          <t>**</t>
        </is>
      </c>
      <c r="F3" s="14" t="inlineStr">
        <is>
          <t>**</t>
        </is>
      </c>
      <c r="G3" s="14" t="inlineStr">
        <is>
          <t>**</t>
        </is>
      </c>
    </row>
    <row r="4" ht="16.15" customHeight="1" s="10">
      <c r="A4" s="20" t="inlineStr">
        <is>
          <t>PR PINE 4 5/8</t>
        </is>
      </c>
      <c r="B4" s="15" t="n">
        <v>212</v>
      </c>
      <c r="C4" s="15" t="n">
        <v>433.5</v>
      </c>
      <c r="D4" s="15" t="n">
        <v>447.5</v>
      </c>
      <c r="E4" s="15" t="n">
        <v>611.5</v>
      </c>
      <c r="F4" s="15" t="n">
        <v>629</v>
      </c>
      <c r="G4" s="15" t="n">
        <v>868.5</v>
      </c>
    </row>
    <row r="5" customFormat="1" s="1">
      <c r="A5" s="20" t="inlineStr">
        <is>
          <t>PR PINE 5 1/4</t>
        </is>
      </c>
      <c r="B5" s="15" t="n">
        <v>251.5</v>
      </c>
      <c r="C5" s="15" t="n">
        <v>471</v>
      </c>
      <c r="D5" s="15" t="n">
        <v>527</v>
      </c>
      <c r="E5" s="15" t="n">
        <v>737.5</v>
      </c>
      <c r="F5" s="15" t="n">
        <v>709</v>
      </c>
      <c r="G5" s="15" t="n">
        <v>1021</v>
      </c>
    </row>
    <row r="6">
      <c r="A6" s="20" t="inlineStr">
        <is>
          <t>PR PINE 6 5/8</t>
        </is>
      </c>
      <c r="B6" s="15" t="n">
        <v>278.5</v>
      </c>
      <c r="C6" s="15" t="n">
        <v>525</v>
      </c>
      <c r="D6" s="15" t="n">
        <v>591.5</v>
      </c>
      <c r="E6" s="15" t="n">
        <v>859</v>
      </c>
      <c r="F6" s="15" t="n">
        <v>841</v>
      </c>
      <c r="G6" s="15" t="n">
        <v>1112</v>
      </c>
    </row>
    <row r="7" customFormat="1" s="1">
      <c r="A7" s="20" t="inlineStr">
        <is>
          <t>PR PINE 7 1/4</t>
        </is>
      </c>
      <c r="B7" s="15" t="n">
        <v>287.5</v>
      </c>
      <c r="C7" s="15" t="n">
        <v>565</v>
      </c>
      <c r="D7" s="15" t="n">
        <v>637.5</v>
      </c>
      <c r="E7" s="15" t="n">
        <v>892</v>
      </c>
      <c r="F7" s="15" t="n">
        <v>871.5</v>
      </c>
      <c r="G7" s="15" t="n">
        <v>1163</v>
      </c>
    </row>
    <row r="8">
      <c r="A8" s="20" t="n"/>
      <c r="B8" s="15" t="n"/>
      <c r="C8" s="15" t="n"/>
      <c r="D8" s="15" t="n"/>
      <c r="E8" s="15" t="n"/>
      <c r="F8" s="15" t="n"/>
      <c r="G8" s="15" t="n"/>
    </row>
    <row r="9" customFormat="1" s="1">
      <c r="A9" s="20" t="inlineStr">
        <is>
          <t>SG PINE 4 5/8</t>
        </is>
      </c>
      <c r="B9" s="15" t="n">
        <v>277</v>
      </c>
      <c r="C9" s="15" t="n">
        <v>530</v>
      </c>
      <c r="D9" s="15" t="n">
        <v>571.5</v>
      </c>
      <c r="E9" s="15" t="n">
        <v>816.5</v>
      </c>
      <c r="F9" s="15" t="n">
        <v>815</v>
      </c>
      <c r="G9" s="15" t="n">
        <v>1055</v>
      </c>
    </row>
    <row r="10">
      <c r="A10" s="20" t="inlineStr">
        <is>
          <t>SG PINE 5 1/4</t>
        </is>
      </c>
      <c r="B10" s="15" t="n">
        <v>299.5</v>
      </c>
      <c r="C10" s="15" t="n">
        <v>562</v>
      </c>
      <c r="D10" s="15" t="n">
        <v>603</v>
      </c>
      <c r="E10" s="15" t="n">
        <v>859</v>
      </c>
      <c r="F10" s="15" t="n">
        <v>856.5</v>
      </c>
      <c r="G10" s="15" t="n">
        <v>1148.5</v>
      </c>
    </row>
    <row r="11" customFormat="1" s="1">
      <c r="A11" s="20" t="inlineStr">
        <is>
          <t>SG PINE 6 5/8</t>
        </is>
      </c>
      <c r="B11" s="15" t="n">
        <v>360.5</v>
      </c>
      <c r="C11" s="15" t="n">
        <v>609.5</v>
      </c>
      <c r="D11" s="15" t="n">
        <v>708</v>
      </c>
      <c r="E11" s="15" t="n">
        <v>1002</v>
      </c>
      <c r="F11" s="15" t="n">
        <v>970.5</v>
      </c>
      <c r="G11" s="15" t="n">
        <v>1326.5</v>
      </c>
    </row>
    <row r="12">
      <c r="A12" s="20" t="inlineStr">
        <is>
          <t>SG PINE 7 1/4</t>
        </is>
      </c>
      <c r="B12" s="15" t="n">
        <v>376</v>
      </c>
      <c r="C12" s="15" t="n">
        <v>630.5</v>
      </c>
      <c r="D12" s="15" t="n">
        <v>733</v>
      </c>
      <c r="E12" s="15" t="n">
        <v>1038.5</v>
      </c>
      <c r="F12" s="15" t="n">
        <v>997.5</v>
      </c>
      <c r="G12" s="15" t="n">
        <v>1377</v>
      </c>
    </row>
    <row r="13" customFormat="1" s="1">
      <c r="A13" s="20" t="n"/>
      <c r="B13" s="15" t="n"/>
      <c r="C13" s="15" t="n"/>
      <c r="D13" s="15" t="n"/>
      <c r="E13" s="15" t="n"/>
      <c r="F13" s="15" t="n"/>
      <c r="G13" s="15" t="n"/>
    </row>
    <row r="14">
      <c r="A14" s="20" t="inlineStr">
        <is>
          <t>VG FIR 4 5/8</t>
        </is>
      </c>
      <c r="B14" s="15" t="n">
        <v>402.5</v>
      </c>
      <c r="C14" s="15" t="n">
        <v>730</v>
      </c>
      <c r="D14" s="15" t="n">
        <v>818.5</v>
      </c>
      <c r="E14" s="15" t="n">
        <v>1150</v>
      </c>
      <c r="F14" s="15" t="n">
        <v>1133</v>
      </c>
      <c r="G14" s="15" t="n">
        <v>1537</v>
      </c>
    </row>
    <row r="15" customFormat="1" s="1">
      <c r="A15" s="20" t="inlineStr">
        <is>
          <t>VG FIR 5 1/4</t>
        </is>
      </c>
      <c r="B15" s="15" t="n">
        <v>468.5</v>
      </c>
      <c r="C15" s="15" t="n">
        <v>887</v>
      </c>
      <c r="D15" s="15" t="n">
        <v>917.5</v>
      </c>
      <c r="E15" s="15" t="n">
        <v>1331</v>
      </c>
      <c r="F15" s="15" t="n">
        <v>1250.5</v>
      </c>
      <c r="G15" s="15" t="n">
        <v>1732</v>
      </c>
    </row>
    <row r="16">
      <c r="A16" s="20" t="inlineStr">
        <is>
          <t>VG FIR 7 1/4</t>
        </is>
      </c>
      <c r="B16" s="15" t="n">
        <v>615</v>
      </c>
      <c r="C16" s="15" t="n">
        <v>1028</v>
      </c>
      <c r="D16" s="15" t="n">
        <v>1285.5</v>
      </c>
      <c r="E16" s="15" t="n">
        <v>1867</v>
      </c>
      <c r="F16" s="15" t="n">
        <v>1675.5</v>
      </c>
      <c r="G16" s="15" t="n">
        <v>2364</v>
      </c>
    </row>
    <row r="17" customFormat="1" s="1">
      <c r="A17" s="20" t="n"/>
      <c r="B17" s="15" t="n"/>
      <c r="C17" s="15" t="n"/>
      <c r="D17" s="15" t="n"/>
      <c r="E17" s="15" t="n"/>
      <c r="F17" s="15" t="n"/>
      <c r="G17" s="15" t="n"/>
    </row>
    <row r="18">
      <c r="A18" s="20" t="inlineStr">
        <is>
          <t>OAK 5 1/4</t>
        </is>
      </c>
      <c r="B18" s="15" t="n">
        <v>508.5</v>
      </c>
      <c r="C18" s="15" t="n">
        <v>852</v>
      </c>
      <c r="D18" s="15" t="n">
        <v>937.5</v>
      </c>
      <c r="E18" s="15" t="n">
        <v>1330</v>
      </c>
      <c r="F18" s="15" t="n">
        <v>1215</v>
      </c>
      <c r="G18" s="15" t="n">
        <v>1604.5</v>
      </c>
    </row>
    <row r="19" customFormat="1" s="1">
      <c r="A19" s="20" t="inlineStr">
        <is>
          <t>OAK 7 1/4</t>
        </is>
      </c>
      <c r="B19" s="15" t="n">
        <v>640</v>
      </c>
      <c r="C19" s="15" t="n">
        <v>1102.5</v>
      </c>
      <c r="D19" s="15" t="n">
        <v>1217.5</v>
      </c>
      <c r="E19" s="15" t="n">
        <v>1742.5</v>
      </c>
      <c r="F19" s="15" t="n">
        <v>1658</v>
      </c>
      <c r="G19" s="15" t="n">
        <v>2071</v>
      </c>
    </row>
    <row r="20">
      <c r="A20" s="20" t="inlineStr">
        <is>
          <t xml:space="preserve">                * *Add  Cost for Commercial Grade or Ball Bearing Hinges to all Door &amp; Sidelite Units</t>
        </is>
      </c>
      <c r="B20" s="13" t="n"/>
      <c r="C20" s="13" t="n"/>
      <c r="D20" s="13" t="n"/>
      <c r="E20" s="13" t="n"/>
      <c r="F20" s="13" t="n"/>
      <c r="G20" s="13" t="n"/>
    </row>
    <row r="21" customFormat="1" s="3">
      <c r="A21" s="20" t="inlineStr">
        <is>
          <t xml:space="preserve">                 * 2 1/4" ADD $129.50 PER EACH DOOR OR SIDELITE</t>
        </is>
      </c>
      <c r="B21" s="20" t="n"/>
      <c r="C21" s="20" t="n"/>
      <c r="D21" s="20" t="n"/>
      <c r="E21" s="20" t="n"/>
      <c r="F21" s="20" t="n"/>
      <c r="G21" s="20" t="n"/>
    </row>
    <row r="22" customFormat="1" s="20">
      <c r="A22" s="19" t="inlineStr">
        <is>
          <t>Composite Upcharge     Single 65.00     Double 85.00</t>
        </is>
      </c>
      <c r="E22" s="19" t="inlineStr">
        <is>
          <t xml:space="preserve"> </t>
        </is>
      </c>
      <c r="F22" s="19" t="n"/>
      <c r="G22" s="19" t="n"/>
    </row>
    <row r="23" customFormat="1" s="2">
      <c r="A23" s="20" t="inlineStr">
        <is>
          <t>STANDARD SPECIFICATIONS</t>
        </is>
      </c>
      <c r="B23" s="19" t="n"/>
      <c r="C23" s="19" t="n"/>
      <c r="D23" s="19" t="inlineStr">
        <is>
          <t xml:space="preserve"> </t>
        </is>
      </c>
      <c r="E23" s="19" t="n"/>
      <c r="F23" s="19" t="n"/>
      <c r="G23" s="19" t="n"/>
    </row>
    <row r="24" customFormat="1" s="20">
      <c r="A24" s="20" t="inlineStr">
        <is>
          <t xml:space="preserve">A BETTER DOOR to supply Exterior Jambs, Aluminum or Bronze Sill, Door Shoes, </t>
        </is>
      </c>
      <c r="B24" s="19" t="n"/>
      <c r="C24" s="19" t="n"/>
      <c r="D24" s="19" t="n"/>
      <c r="E24" s="19" t="n"/>
      <c r="F24" s="19" t="n"/>
      <c r="G24" s="19" t="n"/>
    </row>
    <row r="25" customFormat="1" s="2">
      <c r="A25" s="20" t="inlineStr">
        <is>
          <t>Kerft Weatherstripping &amp; 4 ea. 4" x 4" x 1/4"R Hinges per Door,US4 Satin Brass.</t>
        </is>
      </c>
      <c r="B25" s="19" t="n"/>
      <c r="C25" s="19" t="n"/>
      <c r="D25" s="19" t="n"/>
      <c r="E25" s="19" t="n"/>
      <c r="F25" s="19" t="n"/>
      <c r="G25" s="19" t="n"/>
    </row>
    <row r="26" customFormat="1" s="20">
      <c r="A26" s="20" t="n"/>
      <c r="B26" s="19" t="n"/>
      <c r="C26" s="19" t="n"/>
      <c r="D26" s="19" t="n"/>
      <c r="E26" s="19" t="n"/>
      <c r="F26" s="19" t="n"/>
      <c r="G26" s="19" t="n"/>
    </row>
    <row r="27" customFormat="1" s="2">
      <c r="A27" s="20" t="inlineStr">
        <is>
          <t>Double Door prices include Fir T-Astragal and 2 ea 6" brass flush bolts.</t>
        </is>
      </c>
      <c r="B27" s="19" t="n"/>
      <c r="C27" s="19" t="n"/>
      <c r="D27" s="19" t="n"/>
      <c r="E27" s="19" t="n"/>
      <c r="F27" s="19" t="n"/>
      <c r="G27" s="19" t="n"/>
    </row>
    <row r="28" customFormat="1" s="20">
      <c r="A28" s="20" t="inlineStr">
        <is>
          <t>Oak T-Astragal and 2 ea 6" flush bolts will be included for Oak Jambs.</t>
        </is>
      </c>
      <c r="B28" s="19" t="n"/>
      <c r="C28" s="19" t="n"/>
      <c r="D28" s="19" t="n"/>
      <c r="E28" s="19" t="n"/>
      <c r="F28" s="19" t="n"/>
      <c r="G28" s="19" t="n"/>
    </row>
    <row r="29" customFormat="1" s="2">
      <c r="A29" s="20" t="n"/>
      <c r="B29" s="19" t="n"/>
      <c r="C29" s="19" t="n"/>
      <c r="D29" s="19" t="n"/>
      <c r="E29" s="19" t="n"/>
      <c r="F29" s="19" t="n"/>
      <c r="G29" s="19" t="n"/>
    </row>
    <row r="30" customFormat="1" s="20">
      <c r="A30" s="20" t="inlineStr">
        <is>
          <t>Stain Grade Pine and Vertical Grain Fir Jambs may be veneer or engineered material.</t>
        </is>
      </c>
      <c r="B30" s="19" t="n"/>
      <c r="C30" s="19" t="n"/>
      <c r="D30" s="19" t="n"/>
      <c r="E30" s="19" t="n"/>
      <c r="F30" s="19" t="n"/>
      <c r="G30" s="19" t="n"/>
    </row>
    <row r="31" customFormat="1" s="2">
      <c r="A31" s="20" t="n"/>
      <c r="B31" s="19" t="n"/>
      <c r="C31" s="19" t="n"/>
      <c r="D31" s="19" t="n"/>
      <c r="E31" s="19" t="n"/>
      <c r="F31" s="19" t="n"/>
      <c r="G31" s="19" t="n"/>
    </row>
    <row r="32" customFormat="1" s="20">
      <c r="A32" s="20" t="inlineStr">
        <is>
          <t>Hinge Spacing to be approximately 7" from Top of Door and 11" from Bottom of Door.</t>
        </is>
      </c>
      <c r="B32" s="19" t="n"/>
      <c r="C32" s="19" t="n"/>
      <c r="D32" s="19" t="n"/>
      <c r="E32" s="19" t="n"/>
      <c r="F32" s="19" t="n"/>
      <c r="G32" s="19" t="n"/>
    </row>
    <row r="33" customFormat="1" s="2">
      <c r="A33" s="20" t="inlineStr">
        <is>
          <t>Middle Hinge will be Centered between Top and Bottom Hinges.</t>
        </is>
      </c>
      <c r="B33" s="19" t="n"/>
      <c r="C33" s="19" t="n"/>
      <c r="D33" s="19" t="n"/>
      <c r="E33" s="19" t="n"/>
      <c r="F33" s="19" t="n"/>
      <c r="G33" s="19" t="n"/>
    </row>
    <row r="34" customFormat="1" s="20">
      <c r="A34" s="20" t="n"/>
      <c r="B34" s="19" t="n"/>
      <c r="C34" s="19" t="n"/>
      <c r="D34" s="19" t="n"/>
      <c r="E34" s="19" t="n"/>
      <c r="F34" s="19" t="n"/>
      <c r="G34" s="19" t="n"/>
    </row>
    <row r="35" customFormat="1" s="2">
      <c r="A35" s="20" t="inlineStr">
        <is>
          <t>Door Handle Bore will be 2 1/8"D with a 2 3/8" Backset, 60" from the Top of 8/0 Door.</t>
        </is>
      </c>
      <c r="B35" s="19" t="n"/>
      <c r="C35" s="19" t="n"/>
      <c r="D35" s="19" t="n"/>
      <c r="E35" s="19" t="n"/>
      <c r="F35" s="19" t="n"/>
      <c r="G35" s="19" t="n"/>
    </row>
    <row r="36" customFormat="1" s="20">
      <c r="A36" s="20" t="inlineStr">
        <is>
          <t xml:space="preserve"> 7/0 Handle Bore 48" Down, 8/0 Handle bore 60" Down.</t>
        </is>
      </c>
      <c r="B36" s="19" t="n"/>
      <c r="C36" s="19" t="n"/>
      <c r="D36" s="19" t="n"/>
      <c r="E36" s="19" t="n"/>
      <c r="F36" s="19" t="n"/>
      <c r="G36" s="19" t="n"/>
    </row>
    <row r="37" customFormat="1" s="2">
      <c r="A37" s="20" t="n"/>
      <c r="B37" s="19" t="n"/>
      <c r="C37" s="19" t="n"/>
      <c r="D37" s="19" t="n"/>
      <c r="E37" s="19" t="n"/>
      <c r="F37" s="19" t="n"/>
      <c r="G37" s="19" t="n"/>
    </row>
    <row r="38" customFormat="1" s="20">
      <c r="A38" s="20" t="inlineStr">
        <is>
          <t>Dead Bolt Bore will be 2 1/8"D, centered 5 1/2" above the Door Handle Bore.</t>
        </is>
      </c>
      <c r="B38" s="19" t="n"/>
      <c r="C38" s="19" t="n"/>
      <c r="D38" s="19" t="n"/>
      <c r="E38" s="19" t="n"/>
      <c r="F38" s="19" t="n"/>
      <c r="G38" s="19" t="n"/>
    </row>
    <row r="39" customFormat="1" s="2">
      <c r="A39" s="20" t="n"/>
      <c r="B39" s="19" t="n"/>
      <c r="C39" s="19" t="n"/>
      <c r="D39" s="19" t="n"/>
      <c r="E39" s="19" t="n"/>
      <c r="F39" s="19" t="n"/>
      <c r="G39" s="19" t="n"/>
    </row>
    <row r="40" customFormat="1" s="20">
      <c r="A40" s="20" t="inlineStr">
        <is>
          <t xml:space="preserve">Rough Opening to be 2" over Nominal door size for Height and Width,  </t>
        </is>
      </c>
      <c r="B40" s="19" t="n"/>
      <c r="C40" s="19" t="n"/>
      <c r="D40" s="19" t="n"/>
      <c r="E40" s="19" t="n"/>
      <c r="F40" s="19" t="n"/>
      <c r="G40" s="19" t="n"/>
    </row>
    <row r="41" customFormat="1" s="2">
      <c r="A41" s="20" t="inlineStr">
        <is>
          <t>except Width to be 2 1/2" over on Double Doors if a T-Astragal is to be installed.</t>
        </is>
      </c>
      <c r="B41" s="19" t="n"/>
      <c r="C41" s="19" t="n"/>
      <c r="D41" s="19" t="n"/>
      <c r="E41" s="19" t="n"/>
      <c r="F41" s="19" t="n"/>
      <c r="G41" s="19" t="n"/>
    </row>
    <row r="42" customFormat="1" s="20">
      <c r="A42" s="20" t="n"/>
      <c r="B42" s="19" t="n"/>
      <c r="C42" s="19" t="n"/>
      <c r="D42" s="19" t="n"/>
      <c r="E42" s="19" t="n"/>
      <c r="F42" s="19" t="n"/>
      <c r="G42" s="19" t="n"/>
    </row>
    <row r="43" customFormat="1" s="2">
      <c r="A43" s="20" t="inlineStr">
        <is>
          <t>For Single Doors w/1 Sidelite, Rough Opening to be 3 1/2" over Nominal Door + Sidelite Width.</t>
        </is>
      </c>
      <c r="B43" s="19" t="n"/>
      <c r="C43" s="19" t="n"/>
      <c r="D43" s="19" t="n"/>
      <c r="E43" s="19" t="n"/>
      <c r="F43" s="19" t="n"/>
      <c r="G43" s="19" t="n"/>
    </row>
    <row r="44" customFormat="1" s="20">
      <c r="A44" s="20" t="inlineStr">
        <is>
          <t>For Single Doors w/2 Sidelites, Rough Opening to be 5" over Nominal Door + Sidelites Width.</t>
        </is>
      </c>
      <c r="B44" s="19" t="n"/>
      <c r="C44" s="19" t="n"/>
      <c r="D44" s="19" t="n"/>
      <c r="E44" s="19" t="n"/>
      <c r="F44" s="19" t="n"/>
      <c r="G44" s="19" t="n"/>
    </row>
    <row r="45" customFormat="1" s="2">
      <c r="A45" s="20" t="n"/>
      <c r="B45" s="19" t="n"/>
      <c r="C45" s="19" t="n"/>
      <c r="D45" s="19" t="n"/>
      <c r="E45" s="19" t="n"/>
      <c r="F45" s="19" t="n"/>
      <c r="G45" s="19" t="n"/>
    </row>
    <row r="46" customFormat="1" s="20">
      <c r="A46" s="20" t="inlineStr">
        <is>
          <t>For Double Doors w/1 Sidelite, Rough Opening to be 4" over Nominal Door + Sidelite Width if</t>
        </is>
      </c>
      <c r="B46" s="19" t="n"/>
      <c r="C46" s="19" t="n"/>
      <c r="D46" s="19" t="n"/>
      <c r="E46" s="19" t="n"/>
      <c r="F46" s="19" t="n"/>
      <c r="G46" s="19" t="n"/>
    </row>
    <row r="47" customFormat="1" s="2">
      <c r="A47" s="20" t="inlineStr">
        <is>
          <t>a T-Astragal is to be installed.</t>
        </is>
      </c>
      <c r="B47" s="19" t="n"/>
      <c r="C47" s="19" t="n"/>
      <c r="D47" s="19" t="n"/>
      <c r="E47" s="19" t="n"/>
      <c r="F47" s="19" t="n"/>
      <c r="G47" s="19" t="n"/>
    </row>
    <row r="48" customFormat="1" s="20">
      <c r="A48" s="20" t="n"/>
      <c r="B48" s="19" t="n"/>
      <c r="C48" s="19" t="n"/>
      <c r="D48" s="19" t="n"/>
      <c r="E48" s="19" t="n"/>
      <c r="F48" s="19" t="n"/>
      <c r="G48" s="19" t="n"/>
    </row>
    <row r="49" customFormat="1" s="2">
      <c r="A49" s="20" t="inlineStr">
        <is>
          <t>For Double Doors w/2 Sidelites, Rough Opening to be 5 1/2" over Nominal Door + Sidelites Width if</t>
        </is>
      </c>
      <c r="B49" s="19" t="n"/>
      <c r="C49" s="19" t="n"/>
      <c r="D49" s="19" t="n"/>
      <c r="E49" s="19" t="n"/>
      <c r="F49" s="19" t="n"/>
      <c r="G49" s="19" t="n"/>
    </row>
    <row r="50" customFormat="1" s="20">
      <c r="A50" s="20" t="inlineStr">
        <is>
          <t>a T-Astragal is to be installed.</t>
        </is>
      </c>
      <c r="B50" s="19" t="n"/>
      <c r="C50" s="19" t="n"/>
      <c r="D50" s="19" t="n"/>
      <c r="E50" s="19" t="n"/>
      <c r="F50" s="19" t="n"/>
      <c r="G50" s="19" t="n"/>
    </row>
    <row r="51" customFormat="1" s="2">
      <c r="A51" s="20" t="n"/>
      <c r="B51" s="19" t="n"/>
      <c r="C51" s="19" t="n"/>
      <c r="D51" s="19" t="n"/>
      <c r="E51" s="19" t="n"/>
      <c r="F51" s="19" t="n"/>
      <c r="G51" s="19" t="n"/>
    </row>
    <row r="52" customFormat="1" s="20">
      <c r="A52" s="20" t="inlineStr">
        <is>
          <t>Customer to supply door, and casings if required.</t>
        </is>
      </c>
      <c r="B52" s="19" t="n"/>
      <c r="C52" s="19" t="n"/>
      <c r="D52" s="19" t="n"/>
      <c r="E52" s="19" t="n"/>
      <c r="F52" s="19" t="n"/>
      <c r="G52" s="19" t="n"/>
    </row>
  </sheetData>
  <mergeCells count="1">
    <mergeCell ref="A22:D22"/>
  </mergeCells>
  <conditionalFormatting sqref="A4:G19">
    <cfRule type="expression" priority="1" dxfId="0">
      <formula>MOD(ROW(),2)=1</formula>
    </cfRule>
  </conditionalFormatting>
  <pageMargins left="0.6" right="0.54" top="1.24" bottom="0.77" header="0.5" footer="0.5"/>
  <pageSetup orientation="portrait"/>
  <headerFooter alignWithMargins="0">
    <oddHeader>&amp;L&amp;"Arial,Bold"&amp;12 A BETTER DOOR&amp;C&amp;"Arial,Bold"&amp;12 EXTERIOR_x000a_PRE-HUNG_x000a_DOORS&amp;R&amp;"Arial,Bold"&amp;12 WHOLESALE PRICES_x000a_EFFECTIVE  August 15, 2020</oddHeader>
    <oddFooter>&amp;C&amp;"Arial,Bold"Page 7&amp;R&amp;"Arial,Bold"&amp;D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tabSelected="1" view="pageLayout" zoomScale="130" zoomScaleNormal="130" zoomScalePageLayoutView="130" workbookViewId="0">
      <selection activeCell="G2" sqref="G2"/>
    </sheetView>
  </sheetViews>
  <sheetFormatPr baseColWidth="8" defaultColWidth="8.7109375" defaultRowHeight="12.75"/>
  <cols>
    <col width="13.42578125" customWidth="1" style="10" min="1" max="1"/>
    <col width="14" customWidth="1" style="13" min="2" max="2"/>
    <col width="12.28515625" customWidth="1" style="13" min="3" max="3"/>
    <col width="13.28515625" customWidth="1" style="13" min="4" max="4"/>
    <col width="13.42578125" customWidth="1" style="13" min="5" max="5"/>
    <col width="12.140625" customWidth="1" style="13" min="6" max="6"/>
    <col width="13" customWidth="1" style="13" min="7" max="7"/>
    <col width="8.7109375" customWidth="1" style="10" min="8" max="8"/>
    <col width="8.7109375" customWidth="1" style="10" min="9" max="16384"/>
  </cols>
  <sheetData>
    <row r="1">
      <c r="A1" s="7" t="inlineStr">
        <is>
          <t>JAMB TYPE</t>
        </is>
      </c>
      <c r="B1" s="8" t="inlineStr">
        <is>
          <t>7/0 &amp; 8/0  SNGL</t>
        </is>
      </c>
      <c r="C1" s="8" t="inlineStr">
        <is>
          <t>7/0 &amp; 8/0  DBL</t>
        </is>
      </c>
      <c r="D1" s="9" t="inlineStr">
        <is>
          <t>7/0 &amp; 8/0 SNGL</t>
        </is>
      </c>
      <c r="E1" s="9" t="inlineStr">
        <is>
          <t>7/0 &amp; 8/0 SNGL</t>
        </is>
      </c>
      <c r="F1" s="9" t="inlineStr">
        <is>
          <t>7/0 &amp; 8/0 DBL</t>
        </is>
      </c>
      <c r="G1" s="9" t="inlineStr">
        <is>
          <t>7/0 &amp; 8/0 DBL</t>
        </is>
      </c>
    </row>
    <row r="2">
      <c r="A2" s="7" t="inlineStr">
        <is>
          <t>AND SIZE</t>
        </is>
      </c>
      <c r="B2" s="19" t="n"/>
      <c r="C2" s="19" t="n"/>
      <c r="D2" s="21" t="inlineStr">
        <is>
          <t>+ 1 SIDELITE</t>
        </is>
      </c>
      <c r="E2" s="21" t="inlineStr">
        <is>
          <t>+ 2 SIDELITES</t>
        </is>
      </c>
      <c r="F2" s="8" t="inlineStr">
        <is>
          <t>+ 1 SIDELITE</t>
        </is>
      </c>
      <c r="G2" s="8" t="inlineStr">
        <is>
          <t>+ 2 SIDELITES</t>
        </is>
      </c>
    </row>
    <row r="3">
      <c r="A3" s="20" t="n"/>
      <c r="D3" s="14" t="inlineStr">
        <is>
          <t>**</t>
        </is>
      </c>
      <c r="E3" s="14" t="inlineStr">
        <is>
          <t>**</t>
        </is>
      </c>
      <c r="F3" s="14" t="inlineStr">
        <is>
          <t>**</t>
        </is>
      </c>
      <c r="G3" s="14" t="inlineStr">
        <is>
          <t>**</t>
        </is>
      </c>
    </row>
    <row r="4">
      <c r="A4" s="20" t="inlineStr">
        <is>
          <t>PR PINE 4 5/8</t>
        </is>
      </c>
      <c r="B4" s="15">
        <f>wholesale!B4*2</f>
        <v/>
      </c>
      <c r="C4" s="15">
        <f>wholesale!C4*2</f>
        <v/>
      </c>
      <c r="D4" s="15">
        <f>wholesale!D4*2</f>
        <v/>
      </c>
      <c r="E4" s="15">
        <f>wholesale!E4*2</f>
        <v/>
      </c>
      <c r="F4" s="15">
        <f>wholesale!F4*2</f>
        <v/>
      </c>
      <c r="G4" s="15">
        <f>wholesale!G4*2</f>
        <v/>
      </c>
    </row>
    <row r="5">
      <c r="A5" s="20" t="inlineStr">
        <is>
          <t>PR PINE 5 1/4</t>
        </is>
      </c>
      <c r="B5" s="15">
        <f>wholesale!B5*2</f>
        <v/>
      </c>
      <c r="C5" s="15">
        <f>wholesale!C5*2</f>
        <v/>
      </c>
      <c r="D5" s="15">
        <f>wholesale!D5*2</f>
        <v/>
      </c>
      <c r="E5" s="15">
        <f>wholesale!E5*2</f>
        <v/>
      </c>
      <c r="F5" s="15">
        <f>wholesale!F5*2</f>
        <v/>
      </c>
      <c r="G5" s="15">
        <f>wholesale!G5*2</f>
        <v/>
      </c>
    </row>
    <row r="6">
      <c r="A6" s="20" t="inlineStr">
        <is>
          <t>PR PINE 6 5/8</t>
        </is>
      </c>
      <c r="B6" s="15">
        <f>wholesale!B6*2</f>
        <v/>
      </c>
      <c r="C6" s="15">
        <f>wholesale!C6*2</f>
        <v/>
      </c>
      <c r="D6" s="15">
        <f>wholesale!D6*2</f>
        <v/>
      </c>
      <c r="E6" s="15">
        <f>wholesale!E6*2</f>
        <v/>
      </c>
      <c r="F6" s="15">
        <f>wholesale!F6*2</f>
        <v/>
      </c>
      <c r="G6" s="15">
        <f>wholesale!G6*2</f>
        <v/>
      </c>
    </row>
    <row r="7">
      <c r="A7" s="20" t="inlineStr">
        <is>
          <t>PR PINE 7 1/4</t>
        </is>
      </c>
      <c r="B7" s="15">
        <f>wholesale!B7*2</f>
        <v/>
      </c>
      <c r="C7" s="15">
        <f>wholesale!C7*2</f>
        <v/>
      </c>
      <c r="D7" s="15">
        <f>wholesale!D7*2</f>
        <v/>
      </c>
      <c r="E7" s="15">
        <f>wholesale!E7*2</f>
        <v/>
      </c>
      <c r="F7" s="15">
        <f>wholesale!F7*2</f>
        <v/>
      </c>
      <c r="G7" s="15">
        <f>wholesale!G7*2</f>
        <v/>
      </c>
    </row>
    <row r="8">
      <c r="A8" s="20" t="n"/>
      <c r="B8" s="15" t="n"/>
      <c r="C8" s="15" t="n"/>
      <c r="D8" s="15" t="n"/>
      <c r="E8" s="15" t="n"/>
      <c r="F8" s="15" t="n"/>
      <c r="G8" s="15" t="n"/>
    </row>
    <row r="9">
      <c r="A9" s="20" t="inlineStr">
        <is>
          <t>SG PINE 4 5/8</t>
        </is>
      </c>
      <c r="B9" s="15">
        <f>wholesale!B9*2</f>
        <v/>
      </c>
      <c r="C9" s="15">
        <f>wholesale!C9*2</f>
        <v/>
      </c>
      <c r="D9" s="15">
        <f>wholesale!D9*2</f>
        <v/>
      </c>
      <c r="E9" s="15">
        <f>wholesale!E9*2</f>
        <v/>
      </c>
      <c r="F9" s="15">
        <f>wholesale!F9*2</f>
        <v/>
      </c>
      <c r="G9" s="15">
        <f>wholesale!G9*2</f>
        <v/>
      </c>
    </row>
    <row r="10">
      <c r="A10" s="20" t="inlineStr">
        <is>
          <t>SG PINE 5 1/4</t>
        </is>
      </c>
      <c r="B10" s="15">
        <f>wholesale!B10*2</f>
        <v/>
      </c>
      <c r="C10" s="15">
        <f>wholesale!C10*2</f>
        <v/>
      </c>
      <c r="D10" s="15">
        <f>wholesale!D10*2</f>
        <v/>
      </c>
      <c r="E10" s="15">
        <f>wholesale!E10*2</f>
        <v/>
      </c>
      <c r="F10" s="15">
        <f>wholesale!F10*2</f>
        <v/>
      </c>
      <c r="G10" s="15">
        <f>wholesale!G10*2</f>
        <v/>
      </c>
    </row>
    <row r="11">
      <c r="A11" s="20" t="inlineStr">
        <is>
          <t>SG PINE 6 5/8</t>
        </is>
      </c>
      <c r="B11" s="15">
        <f>wholesale!B11*2</f>
        <v/>
      </c>
      <c r="C11" s="15">
        <f>wholesale!C11*2</f>
        <v/>
      </c>
      <c r="D11" s="15">
        <f>wholesale!D11*2</f>
        <v/>
      </c>
      <c r="E11" s="15">
        <f>wholesale!E11*2</f>
        <v/>
      </c>
      <c r="F11" s="15">
        <f>wholesale!F11*2</f>
        <v/>
      </c>
      <c r="G11" s="15">
        <f>wholesale!G11*2</f>
        <v/>
      </c>
    </row>
    <row r="12">
      <c r="A12" s="20" t="inlineStr">
        <is>
          <t>SG PINE 7 1/4</t>
        </is>
      </c>
      <c r="B12" s="15">
        <f>wholesale!B12*2</f>
        <v/>
      </c>
      <c r="C12" s="15">
        <f>wholesale!C12*2</f>
        <v/>
      </c>
      <c r="D12" s="15">
        <f>wholesale!D12*2</f>
        <v/>
      </c>
      <c r="E12" s="15">
        <f>wholesale!E12*2</f>
        <v/>
      </c>
      <c r="F12" s="15">
        <f>wholesale!F12*2</f>
        <v/>
      </c>
      <c r="G12" s="15">
        <f>wholesale!G12*2</f>
        <v/>
      </c>
    </row>
    <row r="13">
      <c r="A13" s="20" t="n"/>
      <c r="B13" s="15" t="n"/>
      <c r="C13" s="15" t="n"/>
      <c r="D13" s="15" t="n"/>
      <c r="E13" s="15" t="n"/>
      <c r="F13" s="15" t="n"/>
      <c r="G13" s="15" t="n"/>
    </row>
    <row r="14">
      <c r="A14" s="20" t="inlineStr">
        <is>
          <t>VG FIR 4 5/8</t>
        </is>
      </c>
      <c r="B14" s="15">
        <f>wholesale!B14*2</f>
        <v/>
      </c>
      <c r="C14" s="15">
        <f>wholesale!C14*2</f>
        <v/>
      </c>
      <c r="D14" s="15">
        <f>wholesale!D14*2</f>
        <v/>
      </c>
      <c r="E14" s="15">
        <f>wholesale!E14*2</f>
        <v/>
      </c>
      <c r="F14" s="15">
        <f>wholesale!F14*2</f>
        <v/>
      </c>
      <c r="G14" s="15">
        <f>wholesale!G14*2</f>
        <v/>
      </c>
    </row>
    <row r="15">
      <c r="A15" s="20" t="inlineStr">
        <is>
          <t>VG FIR 5 1/4</t>
        </is>
      </c>
      <c r="B15" s="15">
        <f>wholesale!B15*2</f>
        <v/>
      </c>
      <c r="C15" s="15">
        <f>wholesale!C15*2</f>
        <v/>
      </c>
      <c r="D15" s="15">
        <f>wholesale!D15*2</f>
        <v/>
      </c>
      <c r="E15" s="15">
        <f>wholesale!E15*2</f>
        <v/>
      </c>
      <c r="F15" s="15">
        <f>wholesale!F15*2</f>
        <v/>
      </c>
      <c r="G15" s="15">
        <f>wholesale!G15*2</f>
        <v/>
      </c>
    </row>
    <row r="16">
      <c r="A16" s="20" t="inlineStr">
        <is>
          <t>VG FIR 7 1/4</t>
        </is>
      </c>
      <c r="B16" s="15">
        <f>wholesale!B16*2</f>
        <v/>
      </c>
      <c r="C16" s="15">
        <f>wholesale!C16*2</f>
        <v/>
      </c>
      <c r="D16" s="15">
        <f>wholesale!D16*2</f>
        <v/>
      </c>
      <c r="E16" s="15">
        <f>wholesale!E16*2</f>
        <v/>
      </c>
      <c r="F16" s="15">
        <f>wholesale!F16*2</f>
        <v/>
      </c>
      <c r="G16" s="15">
        <f>wholesale!G16*2</f>
        <v/>
      </c>
    </row>
    <row r="17">
      <c r="A17" s="20" t="n"/>
      <c r="B17" s="15" t="n"/>
      <c r="C17" s="15" t="n"/>
      <c r="D17" s="15" t="n"/>
      <c r="E17" s="15" t="n"/>
      <c r="F17" s="15" t="n"/>
      <c r="G17" s="15" t="n"/>
    </row>
    <row r="18">
      <c r="A18" s="20" t="inlineStr">
        <is>
          <t>OAK 5 1/4</t>
        </is>
      </c>
      <c r="B18" s="15">
        <f>wholesale!B18*2</f>
        <v/>
      </c>
      <c r="C18" s="15">
        <f>wholesale!C18*2</f>
        <v/>
      </c>
      <c r="D18" s="15">
        <f>wholesale!D18*2</f>
        <v/>
      </c>
      <c r="E18" s="15">
        <f>wholesale!E18*2</f>
        <v/>
      </c>
      <c r="F18" s="15">
        <f>wholesale!F18*2</f>
        <v/>
      </c>
      <c r="G18" s="15">
        <f>wholesale!G18*2</f>
        <v/>
      </c>
    </row>
    <row r="19">
      <c r="A19" s="20" t="inlineStr">
        <is>
          <t>OAK 7 1/4</t>
        </is>
      </c>
      <c r="B19" s="15">
        <f>wholesale!B19*2</f>
        <v/>
      </c>
      <c r="C19" s="15">
        <f>wholesale!C19*2</f>
        <v/>
      </c>
      <c r="D19" s="15">
        <f>wholesale!D19*2</f>
        <v/>
      </c>
      <c r="E19" s="15">
        <f>wholesale!E19*2</f>
        <v/>
      </c>
      <c r="F19" s="15">
        <f>wholesale!F19*2</f>
        <v/>
      </c>
      <c r="G19" s="15">
        <f>wholesale!G19*2</f>
        <v/>
      </c>
    </row>
    <row r="20">
      <c r="A20" s="20" t="inlineStr">
        <is>
          <t xml:space="preserve">                * *Add  Cost for Commercial Grade or Ball Bearing Hinges to all Door &amp; Sidelite Units</t>
        </is>
      </c>
    </row>
    <row r="21" customFormat="1" s="20">
      <c r="A21" s="16" t="inlineStr">
        <is>
          <t xml:space="preserve">                 * 2 1/4" ADD $259.00 PER EACH DOOR OR SIDELITE</t>
        </is>
      </c>
      <c r="B21" s="14" t="n"/>
      <c r="C21" s="14" t="n"/>
      <c r="D21" s="14" t="n"/>
      <c r="E21" s="14" t="n"/>
      <c r="F21" s="19" t="n"/>
      <c r="G21" s="19" t="n"/>
    </row>
    <row r="22" customFormat="1" s="20">
      <c r="A22" s="19" t="inlineStr">
        <is>
          <t>Composite Upcharge     Single 130.00     Double 170.00</t>
        </is>
      </c>
      <c r="E22" s="20" t="n"/>
      <c r="F22" s="19" t="n"/>
      <c r="G22" s="19" t="n"/>
    </row>
    <row r="23" customFormat="1" s="20">
      <c r="A23" s="20" t="inlineStr">
        <is>
          <t>STANDARD SPECIFICATIONS</t>
        </is>
      </c>
      <c r="B23" s="19" t="n"/>
      <c r="C23" s="19" t="n"/>
      <c r="D23" s="19" t="inlineStr">
        <is>
          <t xml:space="preserve"> </t>
        </is>
      </c>
      <c r="E23" s="19" t="n"/>
      <c r="F23" s="19" t="n"/>
      <c r="G23" s="19" t="n"/>
    </row>
    <row r="24" customFormat="1" s="20">
      <c r="A24" s="20" t="inlineStr">
        <is>
          <t xml:space="preserve">A BETTER DOOR to supply Exterior Jambs, Aluminum or Bronze Sill, Door Shoes, </t>
        </is>
      </c>
      <c r="B24" s="19" t="n"/>
      <c r="C24" s="19" t="n"/>
      <c r="D24" s="19" t="n"/>
      <c r="E24" s="19" t="n"/>
      <c r="F24" s="19" t="n"/>
      <c r="G24" s="19" t="n"/>
    </row>
    <row r="25" customFormat="1" s="20">
      <c r="A25" s="20" t="inlineStr">
        <is>
          <t>Kerft Weatherstripping &amp; 4 ea. 4" x 4" x 1/4"R Hinges per Door,US4 Satin Brass.</t>
        </is>
      </c>
      <c r="B25" s="19" t="n"/>
      <c r="C25" s="19" t="n"/>
      <c r="D25" s="19" t="n"/>
      <c r="E25" s="19" t="n"/>
      <c r="F25" s="19" t="n"/>
      <c r="G25" s="19" t="n"/>
    </row>
    <row r="26" customFormat="1" s="20">
      <c r="A26" s="20" t="n"/>
      <c r="B26" s="19" t="n"/>
      <c r="C26" s="19" t="n"/>
      <c r="D26" s="19" t="n"/>
      <c r="E26" s="19" t="n"/>
      <c r="F26" s="19" t="n"/>
      <c r="G26" s="19" t="n"/>
    </row>
    <row r="27" customFormat="1" s="20">
      <c r="A27" s="20" t="inlineStr">
        <is>
          <t>Double Door prices include Fir T-Astragal and 2 ea 6" brass flush bolts.</t>
        </is>
      </c>
      <c r="B27" s="19" t="n"/>
      <c r="C27" s="19" t="n"/>
      <c r="D27" s="19" t="n"/>
      <c r="E27" s="19" t="n"/>
      <c r="F27" s="19" t="n"/>
      <c r="G27" s="19" t="n"/>
    </row>
    <row r="28" customFormat="1" s="20">
      <c r="A28" s="20" t="inlineStr">
        <is>
          <t>Oak T-Astragal and 2 ea 6" flush bolts will be included for Oak Jambs.</t>
        </is>
      </c>
      <c r="B28" s="19" t="n"/>
      <c r="C28" s="19" t="n"/>
      <c r="D28" s="19" t="n"/>
      <c r="E28" s="19" t="n"/>
      <c r="F28" s="19" t="n"/>
      <c r="G28" s="19" t="n"/>
    </row>
    <row r="29" customFormat="1" s="20">
      <c r="A29" s="20" t="n"/>
      <c r="B29" s="19" t="n"/>
      <c r="C29" s="19" t="n"/>
      <c r="D29" s="19" t="n"/>
      <c r="E29" s="19" t="n"/>
      <c r="F29" s="19" t="n"/>
      <c r="G29" s="19" t="n"/>
    </row>
    <row r="30" customFormat="1" s="20">
      <c r="A30" s="20" t="inlineStr">
        <is>
          <t>Stain Grade Pine and Vertical Grain Fir Jambs may be veneer or engineered material.</t>
        </is>
      </c>
      <c r="B30" s="19" t="n"/>
      <c r="C30" s="19" t="n"/>
      <c r="D30" s="19" t="n"/>
      <c r="E30" s="19" t="n"/>
      <c r="F30" s="19" t="n"/>
      <c r="G30" s="19" t="n"/>
    </row>
    <row r="31" customFormat="1" s="20">
      <c r="A31" s="20" t="n"/>
      <c r="B31" s="19" t="n"/>
      <c r="C31" s="19" t="n"/>
      <c r="D31" s="19" t="n"/>
      <c r="E31" s="19" t="n"/>
      <c r="F31" s="19" t="n"/>
      <c r="G31" s="19" t="n"/>
    </row>
    <row r="32" customFormat="1" s="20">
      <c r="A32" s="20" t="inlineStr">
        <is>
          <t>Hinge Spacing to be approximately 7" from Top of Door and 11" from Bottom of Door.</t>
        </is>
      </c>
      <c r="B32" s="19" t="n"/>
      <c r="C32" s="19" t="n"/>
      <c r="D32" s="19" t="n"/>
      <c r="E32" s="19" t="n"/>
      <c r="F32" s="19" t="n"/>
      <c r="G32" s="19" t="n"/>
    </row>
    <row r="33" customFormat="1" s="20">
      <c r="A33" s="20" t="inlineStr">
        <is>
          <t>Middle Hinge will be Centered between Top and Bottom Hinges.</t>
        </is>
      </c>
      <c r="B33" s="19" t="n"/>
      <c r="C33" s="19" t="n"/>
      <c r="D33" s="19" t="n"/>
      <c r="E33" s="19" t="n"/>
      <c r="F33" s="19" t="n"/>
      <c r="G33" s="19" t="n"/>
    </row>
    <row r="34" customFormat="1" s="20">
      <c r="A34" s="20" t="n"/>
      <c r="B34" s="19" t="n"/>
      <c r="C34" s="19" t="n"/>
      <c r="D34" s="19" t="n"/>
      <c r="E34" s="19" t="n"/>
      <c r="F34" s="19" t="n"/>
      <c r="G34" s="19" t="n"/>
    </row>
    <row r="35" customFormat="1" s="20">
      <c r="A35" s="20" t="inlineStr">
        <is>
          <t>Door Handle Bore will be 2 1/8"D with a 2 3/8" Backset, 60" from the Top of 8/0 Door.</t>
        </is>
      </c>
      <c r="B35" s="19" t="n"/>
      <c r="C35" s="19" t="n"/>
      <c r="D35" s="19" t="n"/>
      <c r="E35" s="19" t="n"/>
      <c r="F35" s="19" t="n"/>
      <c r="G35" s="19" t="n"/>
    </row>
    <row r="36" customFormat="1" s="20">
      <c r="A36" s="20" t="inlineStr">
        <is>
          <t xml:space="preserve"> 7/0 Handle Bore 48" Down, 8/0 Handle bore 60" Down.</t>
        </is>
      </c>
      <c r="B36" s="19" t="n"/>
      <c r="C36" s="19" t="n"/>
      <c r="D36" s="19" t="n"/>
      <c r="E36" s="19" t="n"/>
      <c r="F36" s="19" t="n"/>
      <c r="G36" s="19" t="n"/>
    </row>
    <row r="37" customFormat="1" s="20">
      <c r="A37" s="20" t="n"/>
      <c r="B37" s="19" t="n"/>
      <c r="C37" s="19" t="n"/>
      <c r="D37" s="19" t="n"/>
      <c r="E37" s="19" t="n"/>
      <c r="F37" s="19" t="n"/>
      <c r="G37" s="19" t="n"/>
    </row>
    <row r="38" customFormat="1" s="20">
      <c r="A38" s="20" t="inlineStr">
        <is>
          <t>Dead Bolt Bore will be 2 1/8"D, centered 5 1/2" above the Door Handle Bore.</t>
        </is>
      </c>
      <c r="B38" s="19" t="n"/>
      <c r="C38" s="19" t="n"/>
      <c r="D38" s="19" t="n"/>
      <c r="E38" s="19" t="n"/>
      <c r="F38" s="19" t="n"/>
      <c r="G38" s="19" t="n"/>
    </row>
    <row r="39" customFormat="1" s="20">
      <c r="A39" s="20" t="n"/>
      <c r="B39" s="19" t="n"/>
      <c r="C39" s="19" t="n"/>
      <c r="D39" s="19" t="n"/>
      <c r="E39" s="19" t="n"/>
      <c r="F39" s="19" t="n"/>
      <c r="G39" s="19" t="n"/>
    </row>
    <row r="40" customFormat="1" s="20">
      <c r="A40" s="20" t="inlineStr">
        <is>
          <t xml:space="preserve">Rough Opening to be 2" over Nominal door size for Height and Width,  </t>
        </is>
      </c>
      <c r="B40" s="19" t="n"/>
      <c r="C40" s="19" t="n"/>
      <c r="D40" s="19" t="n"/>
      <c r="E40" s="19" t="n"/>
      <c r="F40" s="19" t="n"/>
      <c r="G40" s="19" t="n"/>
    </row>
    <row r="41" customFormat="1" s="20">
      <c r="A41" s="20" t="inlineStr">
        <is>
          <t>except Width to be 2 1/2" over on Double Doors if a T-Astragal is to be installed.</t>
        </is>
      </c>
      <c r="B41" s="19" t="n"/>
      <c r="C41" s="19" t="n"/>
      <c r="D41" s="19" t="n"/>
      <c r="E41" s="19" t="n"/>
      <c r="F41" s="19" t="n"/>
      <c r="G41" s="19" t="n"/>
    </row>
    <row r="42" customFormat="1" s="20">
      <c r="A42" s="20" t="n"/>
      <c r="B42" s="19" t="n"/>
      <c r="C42" s="19" t="n"/>
      <c r="D42" s="19" t="n"/>
      <c r="E42" s="19" t="n"/>
      <c r="F42" s="19" t="n"/>
      <c r="G42" s="19" t="n"/>
    </row>
    <row r="43" customFormat="1" s="20">
      <c r="A43" s="20" t="inlineStr">
        <is>
          <t>For Single Doors w/1 Sidelite, Rough Opening to be 3 1/2" over Nominal Door + Sidelite Width.</t>
        </is>
      </c>
      <c r="B43" s="19" t="n"/>
      <c r="C43" s="19" t="n"/>
      <c r="D43" s="19" t="n"/>
      <c r="E43" s="19" t="n"/>
      <c r="F43" s="19" t="n"/>
      <c r="G43" s="19" t="n"/>
    </row>
    <row r="44" customFormat="1" s="20">
      <c r="A44" s="20" t="inlineStr">
        <is>
          <t>For Single Doors w/2 Sidelites, Rough Opening to be 5" over Nominal Door + Sidelites Width.</t>
        </is>
      </c>
      <c r="B44" s="19" t="n"/>
      <c r="C44" s="19" t="n"/>
      <c r="D44" s="19" t="n"/>
      <c r="E44" s="19" t="n"/>
      <c r="F44" s="19" t="n"/>
      <c r="G44" s="19" t="n"/>
    </row>
    <row r="45" customFormat="1" s="20">
      <c r="A45" s="20" t="n"/>
      <c r="B45" s="19" t="n"/>
      <c r="C45" s="19" t="n"/>
      <c r="D45" s="19" t="n"/>
      <c r="E45" s="19" t="n"/>
      <c r="F45" s="19" t="n"/>
      <c r="G45" s="19" t="n"/>
    </row>
    <row r="46" customFormat="1" s="20">
      <c r="A46" s="20" t="inlineStr">
        <is>
          <t>For Double Doors w/1 Sidelite, Rough Opening to be 4" over Nominal Door + Sidelite Width if</t>
        </is>
      </c>
      <c r="B46" s="19" t="n"/>
      <c r="C46" s="19" t="n"/>
      <c r="D46" s="19" t="n"/>
      <c r="E46" s="19" t="n"/>
      <c r="F46" s="19" t="n"/>
      <c r="G46" s="19" t="n"/>
    </row>
    <row r="47" customFormat="1" s="20">
      <c r="A47" s="20" t="inlineStr">
        <is>
          <t>a T-Astragal is to be installed.</t>
        </is>
      </c>
      <c r="B47" s="19" t="n"/>
      <c r="C47" s="19" t="n"/>
      <c r="D47" s="19" t="n"/>
      <c r="E47" s="19" t="n"/>
      <c r="F47" s="19" t="n"/>
      <c r="G47" s="19" t="n"/>
    </row>
    <row r="48" customFormat="1" s="20">
      <c r="A48" s="20" t="n"/>
      <c r="B48" s="19" t="n"/>
      <c r="C48" s="19" t="n"/>
      <c r="D48" s="19" t="n"/>
      <c r="E48" s="19" t="n"/>
      <c r="F48" s="19" t="n"/>
      <c r="G48" s="19" t="n"/>
    </row>
    <row r="49" customFormat="1" s="20">
      <c r="A49" s="20" t="inlineStr">
        <is>
          <t>For Double Doors w/2 Sidelites, Rough Opening to be 5 1/2" over Nominal Door + Sidelites Width if</t>
        </is>
      </c>
      <c r="B49" s="19" t="n"/>
      <c r="C49" s="19" t="n"/>
      <c r="D49" s="19" t="n"/>
      <c r="E49" s="19" t="n"/>
      <c r="F49" s="19" t="n"/>
      <c r="G49" s="19" t="n"/>
    </row>
    <row r="50" customFormat="1" s="20">
      <c r="A50" s="20" t="inlineStr">
        <is>
          <t>a T-Astragal is to be installed.</t>
        </is>
      </c>
      <c r="B50" s="19" t="n"/>
      <c r="C50" s="19" t="n"/>
      <c r="D50" s="19" t="n"/>
      <c r="E50" s="19" t="n"/>
      <c r="F50" s="19" t="n"/>
      <c r="G50" s="19" t="n"/>
    </row>
    <row r="51" customFormat="1" s="20">
      <c r="A51" s="20" t="n"/>
      <c r="B51" s="19" t="inlineStr">
        <is>
          <t>Customer to supply door, and casings if required.</t>
        </is>
      </c>
      <c r="C51" s="19" t="n"/>
      <c r="D51" s="19" t="n"/>
      <c r="E51" s="19" t="n"/>
      <c r="F51" s="19" t="n"/>
      <c r="G51" s="19" t="n"/>
    </row>
    <row r="52" customFormat="1" s="20">
      <c r="B52" s="19" t="n"/>
      <c r="C52" s="19" t="n"/>
      <c r="D52" s="19" t="n"/>
      <c r="E52" s="19" t="n"/>
      <c r="F52" s="19" t="n"/>
      <c r="G52" s="19" t="n"/>
    </row>
  </sheetData>
  <mergeCells count="1">
    <mergeCell ref="A22:D22"/>
  </mergeCells>
  <conditionalFormatting sqref="A4:G19">
    <cfRule type="expression" priority="1" dxfId="0">
      <formula>MOD(ROW(),2)=1</formula>
    </cfRule>
  </conditionalFormatting>
  <pageMargins left="0.6" right="0.54" top="1.38" bottom="0.77" header="0.5" footer="0.5"/>
  <pageSetup orientation="portrait"/>
  <headerFooter alignWithMargins="0">
    <oddHeader>&amp;L&amp;"Arial,Bold"&amp;12 A BETTER DOOR&amp;C&amp;"Arial,Bold"&amp;12 EXTERIOR_x000a_PRE-HUNG_x000a_DOORS&amp;R&amp;"Arial,Bold"&amp;12 RETAIL PRICES_x000a_EFFECTIVE August 15, 2020</oddHeader>
    <oddFooter>&amp;C&amp;"Arial,Bold"Page 7&amp;R&amp;"Arial,Bold"&amp;D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Wayen Lawson</dc:creator>
  <dcterms:created xsi:type="dcterms:W3CDTF">2004-06-17T15:01:43Z</dcterms:created>
  <dcterms:modified xsi:type="dcterms:W3CDTF">2020-07-28T20:00:18Z</dcterms:modified>
  <cp:lastModifiedBy>Margo</cp:lastModifiedBy>
  <cp:lastPrinted>2020-07-28T19:59:42Z</cp:lastPrinted>
</cp:coreProperties>
</file>