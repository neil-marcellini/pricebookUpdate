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'wholesale'!$A$1:$D$50</definedName>
    <definedName name="_xlnm.Print_Area" localSheetId="1">'retail'!$A$1:$D$53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color rgb="FFFF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FF0000"/>
      <sz val="10"/>
    </font>
    <font>
      <name val="Helvetica Neue"/>
      <family val="2"/>
      <sz val="12"/>
    </font>
    <font>
      <name val="Arial"/>
      <family val="2"/>
      <i val="1"/>
      <sz val="10"/>
      <u val="single"/>
    </font>
    <font>
      <name val="Arial"/>
      <family val="2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pivotButton="0" quotePrefix="0" xfId="0"/>
    <xf numFmtId="2" fontId="2" fillId="0" borderId="0" applyAlignment="1" pivotButton="0" quotePrefix="0" xfId="0">
      <alignment horizontal="center"/>
    </xf>
    <xf numFmtId="4" fontId="0" fillId="0" borderId="0" pivotButton="0" quotePrefix="0" xfId="0"/>
    <xf numFmtId="0" fontId="6" fillId="0" borderId="0" pivotButton="0" quotePrefix="0" xfId="0"/>
    <xf numFmtId="2" fontId="6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7" fillId="0" borderId="0" pivotButton="0" quotePrefix="0" xfId="0"/>
    <xf numFmtId="4" fontId="8" fillId="0" borderId="0" pivotButton="0" quotePrefix="0" xfId="0"/>
    <xf numFmtId="0" fontId="1" fillId="0" borderId="1" pivotButton="0" quotePrefix="0" xfId="0"/>
    <xf numFmtId="4" fontId="6" fillId="0" borderId="0" pivotButton="0" quotePrefix="0" xfId="0"/>
    <xf numFmtId="0" fontId="0" fillId="0" borderId="1" pivotButton="0" quotePrefix="0" xfId="0"/>
    <xf numFmtId="0" fontId="9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2" fontId="2" fillId="0" borderId="2" applyAlignment="1" pivotButton="0" quotePrefix="0" xfId="0">
      <alignment horizontal="center"/>
    </xf>
    <xf numFmtId="0" fontId="6" fillId="0" borderId="1" pivotButton="0" quotePrefix="0" xfId="0"/>
    <xf numFmtId="2" fontId="2" fillId="0" borderId="1" applyAlignment="1" pivotButton="0" quotePrefix="0" xfId="0">
      <alignment horizontal="center"/>
    </xf>
    <xf numFmtId="4" fontId="6" fillId="0" borderId="1" pivotButton="0" quotePrefix="0" xfId="0"/>
    <xf numFmtId="2" fontId="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5">
    <dxf>
      <fill>
        <patternFill patternType="lightGray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J53"/>
  <sheetViews>
    <sheetView view="pageLayout" topLeftCell="A4" zoomScaleNormal="115" workbookViewId="0">
      <selection activeCell="F46" sqref="F46"/>
    </sheetView>
  </sheetViews>
  <sheetFormatPr baseColWidth="8" defaultColWidth="8.7109375" defaultRowHeight="12.75"/>
  <cols>
    <col width="69.140625" customWidth="1" style="4" min="1" max="1"/>
    <col width="13.7109375" customWidth="1" style="23" min="2" max="2"/>
    <col hidden="1" width="13.7109375" customWidth="1" style="24" min="3" max="3"/>
    <col width="15.140625" customWidth="1" style="25" min="4" max="4"/>
    <col hidden="1" width="12.7109375" customWidth="1" style="26" min="5" max="5"/>
    <col width="14" customWidth="1" style="20" min="6" max="6"/>
    <col width="9.140625" customWidth="1" style="21" min="7" max="7"/>
    <col width="8.7109375" customWidth="1" style="22" min="8" max="8"/>
    <col width="8.7109375" customWidth="1" style="22" min="9" max="16384"/>
  </cols>
  <sheetData>
    <row r="1" customFormat="1" s="4">
      <c r="A1" s="1" t="n"/>
      <c r="B1" s="13" t="inlineStr">
        <is>
          <t>Single</t>
        </is>
      </c>
      <c r="C1" s="14" t="n"/>
      <c r="D1" s="13" t="inlineStr">
        <is>
          <t>Double</t>
        </is>
      </c>
      <c r="E1" s="15" t="n"/>
      <c r="F1" s="16" t="n"/>
    </row>
    <row r="2" customFormat="1" s="4">
      <c r="B2" s="13" t="inlineStr">
        <is>
          <t>Door</t>
        </is>
      </c>
      <c r="C2" s="10" t="n"/>
      <c r="D2" s="13" t="inlineStr">
        <is>
          <t>Doors</t>
        </is>
      </c>
      <c r="E2" s="15" t="n"/>
      <c r="F2" s="16" t="n"/>
    </row>
    <row r="3">
      <c r="A3" s="1" t="inlineStr">
        <is>
          <t>Sizing Options</t>
        </is>
      </c>
      <c r="B3" s="8" t="n"/>
      <c r="C3" s="10" t="n"/>
      <c r="D3" s="8" t="n"/>
      <c r="E3" s="17" t="n"/>
      <c r="F3" s="18" t="n"/>
    </row>
    <row r="4" ht="15" customHeight="1" s="22">
      <c r="A4" s="4" t="inlineStr">
        <is>
          <t>2 1/4" Doors, per door or sidelite add:</t>
        </is>
      </c>
      <c r="B4" s="8" t="n">
        <v>142</v>
      </c>
      <c r="C4" s="10" t="n"/>
      <c r="D4" s="8" t="n"/>
      <c r="E4" s="17" t="n"/>
      <c r="F4" s="18" t="n"/>
      <c r="G4" s="19" t="n"/>
    </row>
    <row r="5">
      <c r="A5" s="4" t="inlineStr">
        <is>
          <t>Rip Jambs to Special Width - Per Door or Sidelite Unit</t>
        </is>
      </c>
      <c r="B5" s="8" t="n">
        <v>20</v>
      </c>
      <c r="C5" s="11" t="n"/>
      <c r="D5" s="8" t="n">
        <v>20</v>
      </c>
      <c r="E5" s="17" t="n"/>
      <c r="F5" s="18" t="n"/>
    </row>
    <row r="6">
      <c r="A6" s="4" t="inlineStr">
        <is>
          <t>Rip, Each Door or Sidelite to Special Width - Per Side</t>
        </is>
      </c>
      <c r="B6" s="8" t="n">
        <v>20</v>
      </c>
      <c r="C6" s="11" t="n"/>
      <c r="D6" s="8" t="n"/>
      <c r="E6" s="17" t="n"/>
      <c r="F6" s="18" t="n"/>
    </row>
    <row r="7">
      <c r="A7" s="4" t="inlineStr">
        <is>
          <t>Rip and Edge Kerf - 2 Sides</t>
        </is>
      </c>
      <c r="B7" s="8" t="n">
        <v>23</v>
      </c>
      <c r="C7" s="11" t="n"/>
      <c r="D7" s="8" t="n">
        <v>23</v>
      </c>
      <c r="E7" s="17" t="n"/>
      <c r="F7" s="18" t="n"/>
    </row>
    <row r="8">
      <c r="A8" s="4" t="inlineStr">
        <is>
          <t>Trim Height of Door or Sidelite - Per Cut</t>
        </is>
      </c>
      <c r="B8" s="8" t="n">
        <v>20</v>
      </c>
      <c r="C8" s="11" t="n"/>
      <c r="D8" s="8" t="n"/>
      <c r="E8" s="17" t="n"/>
      <c r="F8" s="18" t="n"/>
    </row>
    <row r="9">
      <c r="A9" s="4" t="inlineStr">
        <is>
          <t>Cut and Plug HC Door for Height</t>
        </is>
      </c>
      <c r="B9" s="8" t="n">
        <v>52.5</v>
      </c>
      <c r="C9" s="11" t="n"/>
      <c r="D9" s="8" t="n"/>
      <c r="E9" s="17" t="n"/>
      <c r="F9" s="18" t="n"/>
    </row>
    <row r="10">
      <c r="A10" s="4" t="inlineStr">
        <is>
          <t>Cut and Plug HC Door for Width, Flush doors only, No molded doors</t>
        </is>
      </c>
      <c r="B10" s="8" t="n">
        <v>64.5</v>
      </c>
      <c r="C10" s="11" t="n"/>
      <c r="D10" s="8" t="n"/>
      <c r="E10" s="17" t="n"/>
      <c r="F10" s="18" t="n"/>
    </row>
    <row r="11">
      <c r="A11" s="4" t="inlineStr">
        <is>
          <t>Cut and Plug SC Door for Height</t>
        </is>
      </c>
      <c r="B11" s="8" t="n">
        <v>74.5</v>
      </c>
      <c r="C11" s="11" t="n"/>
      <c r="D11" s="8" t="n"/>
      <c r="E11" s="17" t="n"/>
      <c r="F11" s="18" t="n"/>
    </row>
    <row r="12">
      <c r="A12" s="4" t="inlineStr">
        <is>
          <t>Cut and Plug SC Door for Width</t>
        </is>
      </c>
      <c r="B12" s="8" t="n">
        <v>115</v>
      </c>
      <c r="C12" s="11" t="n"/>
      <c r="D12" s="8" t="n"/>
      <c r="E12" s="17" t="n"/>
      <c r="F12" s="18" t="n"/>
    </row>
    <row r="13">
      <c r="B13" s="8" t="n"/>
      <c r="C13" s="11" t="n"/>
      <c r="D13" s="8" t="n"/>
      <c r="E13" s="17" t="n"/>
      <c r="F13" s="18" t="n"/>
    </row>
    <row r="14">
      <c r="A14" s="1" t="inlineStr">
        <is>
          <t>Customer Supplied Hinges</t>
        </is>
      </c>
      <c r="B14" s="8" t="n"/>
      <c r="C14" s="11" t="n"/>
      <c r="D14" s="8" t="n"/>
      <c r="E14" s="17" t="n"/>
      <c r="F14" s="18" t="n"/>
    </row>
    <row r="15">
      <c r="A15" s="4" t="inlineStr">
        <is>
          <t>Handling Charge</t>
        </is>
      </c>
      <c r="B15" s="8" t="n">
        <v>6.5</v>
      </c>
      <c r="C15" s="11" t="n"/>
      <c r="D15" s="8" t="n">
        <v>12.5</v>
      </c>
      <c r="E15" s="17" t="n"/>
      <c r="F15" s="18" t="n"/>
    </row>
    <row r="16">
      <c r="B16" s="8" t="n"/>
      <c r="C16" s="11" t="n"/>
      <c r="D16" s="8" t="n"/>
      <c r="E16" s="17" t="n"/>
      <c r="F16" s="18" t="n"/>
    </row>
    <row r="17">
      <c r="A17" s="1" t="inlineStr">
        <is>
          <t>Hinges Residential Grade</t>
        </is>
      </c>
      <c r="B17" s="8" t="n"/>
      <c r="C17" s="10" t="n"/>
      <c r="D17" s="8" t="n"/>
      <c r="E17" s="17" t="n"/>
      <c r="F17" s="18" t="n"/>
    </row>
    <row r="18">
      <c r="A18" s="4" t="inlineStr">
        <is>
          <t>Install 3 ea 4"x4" US3, US5, US10B, US15, US26, US26D, L1 Black</t>
        </is>
      </c>
      <c r="B18" s="8" t="n">
        <v>10</v>
      </c>
      <c r="D18" s="8" t="n">
        <v>20</v>
      </c>
      <c r="F18" s="18" t="n"/>
    </row>
    <row r="19">
      <c r="A19" s="4" t="inlineStr">
        <is>
          <t>Install 4 ea 4"x4" US3, US5, US10B, US15, US26, US26D, L1 Black</t>
        </is>
      </c>
      <c r="B19" s="8" t="n">
        <v>14</v>
      </c>
      <c r="D19" s="8" t="n">
        <v>27</v>
      </c>
    </row>
    <row r="20">
      <c r="A20" s="4" t="inlineStr">
        <is>
          <t>NRP Upgrade ($3.00 per hinge)</t>
        </is>
      </c>
      <c r="B20" s="8" t="n">
        <v>11</v>
      </c>
      <c r="D20" s="8" t="n">
        <v>22</v>
      </c>
      <c r="F20" s="18" t="n"/>
    </row>
    <row r="21">
      <c r="A21" s="4" t="inlineStr">
        <is>
          <t xml:space="preserve">Install 3 ea 4" x 4" Solid Brass Hinges </t>
        </is>
      </c>
      <c r="B21" s="8" t="n">
        <v>36</v>
      </c>
      <c r="D21" s="8" t="n">
        <v>72</v>
      </c>
      <c r="F21" s="18" t="n"/>
    </row>
    <row r="22">
      <c r="A22" s="4" t="inlineStr">
        <is>
          <t>Install 3 ea 4" x 4" Stainless NRP Hinges                                            11.25 Each</t>
        </is>
      </c>
      <c r="B22" s="8" t="n">
        <v>37.5</v>
      </c>
      <c r="D22" s="8" t="n">
        <v>74.5</v>
      </c>
      <c r="F22" s="18" t="n"/>
    </row>
    <row r="23">
      <c r="A23" s="4" t="inlineStr">
        <is>
          <t xml:space="preserve">Install Spring Hinge  4"x 4" US4, each </t>
        </is>
      </c>
      <c r="B23" s="8" t="n">
        <v>12</v>
      </c>
      <c r="D23" s="8" t="n"/>
      <c r="E23" s="17" t="n"/>
      <c r="F23" s="18" t="n"/>
    </row>
    <row r="24">
      <c r="A24" s="4" t="inlineStr">
        <is>
          <t>Install Spring Hinge 4" x 4"US3, 5, 10B, 15, 15A, 26, 26D, L1 Black each</t>
        </is>
      </c>
      <c r="B24" s="8" t="n">
        <v>13.5</v>
      </c>
      <c r="D24" s="8" t="n"/>
      <c r="E24" s="17" t="n"/>
      <c r="F24" s="18" t="n"/>
    </row>
    <row r="25">
      <c r="A25" s="4" t="inlineStr">
        <is>
          <t xml:space="preserve">20 Min Fire Door Hinge Upgrade, 2 Spring Hinges on 6/8 Door   </t>
        </is>
      </c>
      <c r="B25" s="8" t="n">
        <v>30</v>
      </c>
      <c r="D25" s="8" t="n"/>
      <c r="E25" s="17" t="n"/>
      <c r="F25" s="18" t="n"/>
    </row>
    <row r="26">
      <c r="A26" s="4" t="inlineStr">
        <is>
          <t xml:space="preserve">20 Min Fire Door Hinge Upgrade, 2 Spring Hinges on 8/0 Door   </t>
        </is>
      </c>
      <c r="B26" s="8" t="n">
        <v>33</v>
      </c>
      <c r="C26" s="10" t="n"/>
      <c r="D26" s="12" t="n"/>
      <c r="E26" s="17" t="n"/>
      <c r="F26" s="18" t="n"/>
      <c r="H26" s="9" t="n"/>
      <c r="J26" s="9" t="n"/>
    </row>
    <row r="27">
      <c r="A27" s="1" t="n"/>
      <c r="B27" s="8" t="n"/>
      <c r="C27" s="10" t="n"/>
      <c r="D27" s="8" t="n"/>
      <c r="E27" s="17" t="n"/>
      <c r="F27" s="18" t="n"/>
      <c r="H27" s="9" t="n"/>
      <c r="J27" s="9" t="n"/>
    </row>
    <row r="28">
      <c r="A28" s="1" t="inlineStr">
        <is>
          <t>Hinges Commercial Grade,  Square Corner</t>
        </is>
      </c>
      <c r="B28" s="8" t="n"/>
      <c r="D28" s="8" t="n"/>
      <c r="F28" s="18" t="n"/>
    </row>
    <row r="29">
      <c r="A29" s="4" t="inlineStr">
        <is>
          <t xml:space="preserve">Install 3 ea 4" x 4" Plain Bearing, All finishes </t>
        </is>
      </c>
      <c r="B29" s="8" t="n">
        <v>26</v>
      </c>
      <c r="D29" s="8" t="n">
        <v>51.5</v>
      </c>
      <c r="F29" s="18" t="n"/>
    </row>
    <row r="30">
      <c r="A30" s="4" t="inlineStr">
        <is>
          <t xml:space="preserve">Install 4 ea, 4" x 4"Plain Bearing, All finishes </t>
        </is>
      </c>
      <c r="B30" s="8" t="n">
        <v>34.5</v>
      </c>
      <c r="D30" s="8" t="n">
        <v>68.5</v>
      </c>
      <c r="F30" s="18" t="n"/>
    </row>
    <row r="31">
      <c r="A31" s="4" t="inlineStr">
        <is>
          <t>Install 3 ea 4" x 4" Ball Bearing Hinges, US4</t>
        </is>
      </c>
      <c r="B31" s="8" t="n">
        <v>29.5</v>
      </c>
      <c r="D31" s="8" t="n">
        <v>58</v>
      </c>
      <c r="F31" s="18" t="n"/>
    </row>
    <row r="32">
      <c r="A32" s="4" t="inlineStr">
        <is>
          <t>Install 4 ea 4" x 4" Ball Bearing Hinges, US4</t>
        </is>
      </c>
      <c r="B32" s="8" t="n">
        <v>38</v>
      </c>
      <c r="D32" s="8" t="n">
        <v>76.5</v>
      </c>
      <c r="F32" s="18" t="n"/>
    </row>
    <row r="33">
      <c r="A33" s="4" t="inlineStr">
        <is>
          <t>Install 3 ea 4" x  4" Ball Bearing Hinges,US3, 5, 10B, 15, 15A, 26, 26D, L1 Black</t>
        </is>
      </c>
      <c r="B33" s="8" t="n">
        <v>46</v>
      </c>
      <c r="D33" s="8" t="n">
        <v>91.5</v>
      </c>
      <c r="F33" s="18" t="n"/>
    </row>
    <row r="34">
      <c r="A34" s="4" t="inlineStr">
        <is>
          <t>Install 4 ea 4" x  4" Ball Bearing Hinges,US3, 5, 10B, 15, 15A, 26, 26D, L1 Black</t>
        </is>
      </c>
      <c r="B34" s="8" t="n">
        <v>61</v>
      </c>
      <c r="D34" s="8" t="n">
        <v>121.5</v>
      </c>
      <c r="F34" s="18" t="n"/>
    </row>
    <row r="35">
      <c r="A35" s="4" t="inlineStr">
        <is>
          <t>Spring Hinge, ea, Commercial Grade US3,4,5,10B,15, 15A, 26,26D, L1 Black</t>
        </is>
      </c>
      <c r="B35" s="8" t="n">
        <v>33</v>
      </c>
      <c r="D35" s="8" t="n"/>
      <c r="F35" s="18" t="n"/>
    </row>
    <row r="36">
      <c r="A36" s="4" t="inlineStr">
        <is>
          <t>NRP upgrade (3 hinges)</t>
        </is>
      </c>
      <c r="B36" s="8" t="n">
        <v>12.5</v>
      </c>
      <c r="C36" s="10" t="n"/>
      <c r="D36" s="8" t="n">
        <v>24.5</v>
      </c>
      <c r="E36" s="17" t="n"/>
    </row>
    <row r="37">
      <c r="A37" s="4" t="inlineStr">
        <is>
          <t>NRP 3 ea 4" x 4" Plain Bearing, Stainless Steel.                                 15.00 Each</t>
        </is>
      </c>
      <c r="B37" s="8" t="n">
        <v>50</v>
      </c>
      <c r="C37" s="10" t="n"/>
      <c r="D37" s="8" t="n">
        <v>99.5</v>
      </c>
      <c r="E37" s="17" t="n"/>
    </row>
    <row r="38">
      <c r="A38" s="4" t="inlineStr">
        <is>
          <t xml:space="preserve">20 Min Fire Door Hinge Upgrade, 2 Spring Hinges on 6/8 Door </t>
        </is>
      </c>
      <c r="B38" s="8" t="n">
        <v>75</v>
      </c>
      <c r="C38" s="8" t="n"/>
      <c r="D38" s="6" t="n"/>
      <c r="E38" s="6" t="n"/>
      <c r="F38" s="6" t="n"/>
    </row>
    <row r="39" ht="15" customHeight="1" s="22">
      <c r="A39" s="4" t="inlineStr">
        <is>
          <t xml:space="preserve">20 Min Fire Door Hinge Upgrade 2 Spring Hinges on 8/0 Door </t>
        </is>
      </c>
      <c r="B39" s="8" t="n">
        <v>83.5</v>
      </c>
      <c r="C39" s="8" t="n"/>
      <c r="D39" s="6" t="n"/>
      <c r="E39" s="6" t="n"/>
      <c r="F39" s="6" t="n"/>
      <c r="G39" s="19" t="n"/>
    </row>
    <row r="40">
      <c r="B40" s="8" t="n"/>
      <c r="C40" s="8" t="n"/>
      <c r="D40" s="6" t="n"/>
      <c r="E40" s="6" t="n"/>
      <c r="F40" s="6" t="n"/>
    </row>
    <row r="41" ht="15" customHeight="1" s="22">
      <c r="A41" s="1" t="inlineStr">
        <is>
          <t>Boring &amp; Mortising Options</t>
        </is>
      </c>
      <c r="B41" s="8" t="n"/>
      <c r="D41" s="8" t="n"/>
      <c r="E41" s="17" t="n"/>
      <c r="F41" s="18" t="n"/>
      <c r="G41" s="19" t="n"/>
    </row>
    <row r="42">
      <c r="A42" s="4" t="inlineStr">
        <is>
          <t>Mortise Lockset,  Baldwin etc.</t>
        </is>
      </c>
      <c r="B42" s="8" t="n">
        <v>131</v>
      </c>
      <c r="D42" s="8" t="n"/>
      <c r="E42" s="17" t="n"/>
      <c r="F42" s="18" t="n"/>
    </row>
    <row r="43">
      <c r="A43" s="4" t="inlineStr">
        <is>
          <t>Prep Passive Door for Mortise Style Trim</t>
        </is>
      </c>
      <c r="B43" s="8" t="n">
        <v>50.5</v>
      </c>
      <c r="D43" s="8" t="n"/>
      <c r="F43" s="18" t="n"/>
    </row>
    <row r="44">
      <c r="A44" s="4" t="inlineStr">
        <is>
          <t>Bore Passive Door (for standard dummy handle)</t>
        </is>
      </c>
      <c r="B44" s="8" t="n"/>
      <c r="D44" s="8" t="n">
        <v>52</v>
      </c>
      <c r="F44" s="18" t="n"/>
    </row>
    <row r="45">
      <c r="A45" s="4" t="inlineStr">
        <is>
          <t>Bore for Non-Standard Deadbolt Lock</t>
        </is>
      </c>
      <c r="B45" s="8" t="n">
        <v>37</v>
      </c>
      <c r="C45" s="11" t="n"/>
      <c r="D45" s="8" t="n"/>
      <c r="F45" s="18" t="n"/>
    </row>
    <row r="46">
      <c r="A46" s="4" t="inlineStr">
        <is>
          <t>Mortise, Supply and Install 12" Extension Flushbolt, each</t>
        </is>
      </c>
      <c r="B46" s="8" t="n"/>
      <c r="C46" s="11" t="n"/>
      <c r="D46" s="8" t="n">
        <v>88</v>
      </c>
      <c r="E46" s="17" t="n"/>
      <c r="F46" s="18" t="n"/>
    </row>
    <row r="47">
      <c r="A47" s="4" t="inlineStr">
        <is>
          <t>Bore for Baldwin 2 Point Lock</t>
        </is>
      </c>
      <c r="B47" s="8" t="n">
        <v>29.5</v>
      </c>
      <c r="C47" s="11" t="n"/>
      <c r="D47" s="8" t="n">
        <v>57</v>
      </c>
      <c r="E47" s="17" t="n"/>
      <c r="F47" s="18" t="n"/>
    </row>
    <row r="48">
      <c r="B48" s="8" t="n"/>
      <c r="C48" s="11" t="n"/>
      <c r="D48" s="8" t="n"/>
      <c r="E48" s="17" t="n"/>
    </row>
    <row r="49">
      <c r="B49" s="8" t="n"/>
      <c r="C49" s="11" t="n"/>
      <c r="D49" s="8" t="n"/>
      <c r="E49" s="17" t="n"/>
    </row>
    <row r="50">
      <c r="A50" s="4" t="inlineStr">
        <is>
          <t xml:space="preserve">                                                                                         Page 5</t>
        </is>
      </c>
      <c r="B50" s="8" t="n"/>
      <c r="C50" s="11" t="n"/>
      <c r="D50" s="8" t="n"/>
      <c r="E50" s="17" t="n"/>
    </row>
    <row r="51">
      <c r="B51" s="8" t="n"/>
      <c r="C51" s="10" t="n"/>
      <c r="D51" s="8" t="n"/>
      <c r="E51" s="17" t="n"/>
    </row>
    <row r="52">
      <c r="B52" s="8" t="n"/>
      <c r="C52" s="11" t="n"/>
      <c r="D52" s="8" t="n"/>
      <c r="E52" s="17" t="n"/>
      <c r="F52" s="18" t="n"/>
    </row>
    <row r="53">
      <c r="B53" s="8" t="n"/>
      <c r="C53" s="10" t="n"/>
      <c r="D53" s="8" t="n"/>
      <c r="E53" s="17" t="n"/>
    </row>
  </sheetData>
  <conditionalFormatting sqref="A3:D47">
    <cfRule type="expression" priority="1" dxfId="0">
      <formula>MOD(ROW(),2)=1</formula>
    </cfRule>
    <cfRule type="expression" priority="2">
      <formula>MOD(ROW(),2)=1</formula>
    </cfRule>
  </conditionalFormatting>
  <printOptions horizontalCentered="1"/>
  <pageMargins left="0" right="0" top="1.34" bottom="0.46" header="0.54" footer="0.25"/>
  <pageSetup orientation="portrait" scale="105"/>
  <headerFooter alignWithMargins="0">
    <oddHeader>&amp;L&amp;"Arial,Bold"A  BETTER  DOOR_x000a_&amp;C&amp;"Arial,Bold"EXTERIOR _x000a_PRE-HUNG_x000a_DOOR OPTIONS&amp;R&amp;"Arial,Bold"WHOLESALE  PRICES_x000a_EFFECTIVE 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view="pageLayout" topLeftCell="A13" zoomScaleNormal="130" workbookViewId="0">
      <selection activeCell="G44" sqref="G44"/>
    </sheetView>
  </sheetViews>
  <sheetFormatPr baseColWidth="8" defaultColWidth="8.7109375" defaultRowHeight="12.75"/>
  <cols>
    <col width="71.140625" customWidth="1" style="3" min="1" max="1"/>
    <col width="14.42578125" customWidth="1" style="5" min="2" max="2"/>
    <col width="9" customWidth="1" style="5" min="3" max="3"/>
    <col width="7.42578125" customWidth="1" style="6" min="4" max="4"/>
    <col width="9.140625" customWidth="1" style="6" min="5" max="6"/>
    <col width="8.7109375" customWidth="1" style="22" min="7" max="7"/>
    <col width="8.7109375" customWidth="1" style="22" min="8" max="16384"/>
  </cols>
  <sheetData>
    <row r="1" customFormat="1" s="4">
      <c r="A1" s="1" t="n"/>
      <c r="B1" s="2" t="inlineStr">
        <is>
          <t>Single</t>
        </is>
      </c>
      <c r="C1" s="2" t="inlineStr">
        <is>
          <t>Double</t>
        </is>
      </c>
      <c r="D1" s="3" t="n"/>
      <c r="E1" s="3" t="n"/>
    </row>
    <row r="2" customFormat="1" s="4">
      <c r="A2" s="3" t="n"/>
      <c r="B2" s="2" t="inlineStr">
        <is>
          <t>Door</t>
        </is>
      </c>
      <c r="C2" s="2" t="inlineStr">
        <is>
          <t>Doors</t>
        </is>
      </c>
    </row>
    <row r="3">
      <c r="A3" s="3" t="inlineStr">
        <is>
          <t>Sizing Options</t>
        </is>
      </c>
    </row>
    <row r="4">
      <c r="A4" s="4" t="inlineStr">
        <is>
          <t>2 1/4" Doors, per door or sidelite add:</t>
        </is>
      </c>
      <c r="B4" s="8">
        <f>wholesale!B4*2</f>
        <v/>
      </c>
      <c r="C4" s="8" t="n"/>
    </row>
    <row r="5">
      <c r="A5" s="3" t="inlineStr">
        <is>
          <t>Rip Jambs to Special Width - Per Door or Sidelite Unit</t>
        </is>
      </c>
      <c r="B5" s="8">
        <f>wholesale!B5*2</f>
        <v/>
      </c>
      <c r="C5" s="8">
        <f>wholesale!D5*2</f>
        <v/>
      </c>
    </row>
    <row r="6">
      <c r="A6" s="3" t="inlineStr">
        <is>
          <t>Rip, Each Door or Sidelite to Special Width - Per Side</t>
        </is>
      </c>
      <c r="B6" s="8">
        <f>wholesale!B6*2</f>
        <v/>
      </c>
      <c r="C6" s="8" t="n"/>
    </row>
    <row r="7">
      <c r="A7" s="3" t="inlineStr">
        <is>
          <t>Rabbet Jambs for Screen Door</t>
        </is>
      </c>
      <c r="B7" s="8">
        <f>wholesale!B7*2</f>
        <v/>
      </c>
      <c r="C7" s="8">
        <f>wholesale!D7*2</f>
        <v/>
      </c>
    </row>
    <row r="8">
      <c r="A8" s="3" t="inlineStr">
        <is>
          <t>Trim Height of Door or Sidelite - Per Cut</t>
        </is>
      </c>
      <c r="B8" s="8">
        <f>wholesale!B8*2</f>
        <v/>
      </c>
      <c r="C8" s="8" t="n"/>
    </row>
    <row r="9">
      <c r="A9" s="3" t="inlineStr">
        <is>
          <t>Cut and Plug HC Door for Height</t>
        </is>
      </c>
      <c r="B9" s="8">
        <f>wholesale!B9*2</f>
        <v/>
      </c>
      <c r="C9" s="8" t="n"/>
    </row>
    <row r="10">
      <c r="A10" s="3" t="inlineStr">
        <is>
          <t>Cut and Plug HC Door for Width, Flush doors only, No molded doors</t>
        </is>
      </c>
      <c r="B10" s="8">
        <f>wholesale!B10*2</f>
        <v/>
      </c>
      <c r="C10" s="8" t="n"/>
    </row>
    <row r="11">
      <c r="A11" s="3" t="inlineStr">
        <is>
          <t>Cut and Plug SC Door for Height</t>
        </is>
      </c>
      <c r="B11" s="8">
        <f>wholesale!B11*2</f>
        <v/>
      </c>
      <c r="C11" s="8" t="n"/>
    </row>
    <row r="12">
      <c r="A12" s="3" t="inlineStr">
        <is>
          <t>Cut and Plug SC Door for Width</t>
        </is>
      </c>
      <c r="B12" s="8">
        <f>wholesale!B12*2</f>
        <v/>
      </c>
      <c r="C12" s="8" t="n"/>
    </row>
    <row r="13">
      <c r="B13" s="8" t="n"/>
      <c r="C13" s="8" t="n"/>
    </row>
    <row r="14">
      <c r="A14" s="1" t="inlineStr">
        <is>
          <t>Customer Supplied Hinges</t>
        </is>
      </c>
      <c r="B14" s="8" t="n"/>
      <c r="C14" s="8" t="n"/>
    </row>
    <row r="15">
      <c r="A15" s="4" t="inlineStr">
        <is>
          <t>Handling Charge</t>
        </is>
      </c>
      <c r="B15" s="8">
        <f>wholesale!B15*2</f>
        <v/>
      </c>
      <c r="C15" s="8">
        <f>wholesale!D15*2</f>
        <v/>
      </c>
    </row>
    <row r="16">
      <c r="B16" s="8" t="n"/>
      <c r="C16" s="8" t="n"/>
    </row>
    <row r="17">
      <c r="A17" s="1" t="inlineStr">
        <is>
          <t>Hinges Residential Grade</t>
        </is>
      </c>
      <c r="B17" s="8" t="n"/>
      <c r="C17" s="8" t="n"/>
    </row>
    <row r="18">
      <c r="A18" s="4" t="inlineStr">
        <is>
          <t>Install 3 ea 4"x4" US3, US5, US10B, US15, US26, US26D, L1 Black</t>
        </is>
      </c>
      <c r="B18" s="8">
        <f>wholesale!B18*2</f>
        <v/>
      </c>
      <c r="C18" s="8">
        <f>wholesale!D18*2</f>
        <v/>
      </c>
      <c r="D18" s="3" t="n"/>
    </row>
    <row r="19">
      <c r="A19" s="4" t="inlineStr">
        <is>
          <t>Install 4 ea 4"x4" US3, US5, US10B, US15, US26, US26D, L1 Black</t>
        </is>
      </c>
      <c r="B19" s="8">
        <f>wholesale!B19*2</f>
        <v/>
      </c>
      <c r="C19" s="8">
        <f>wholesale!D19*2</f>
        <v/>
      </c>
      <c r="D19" s="3" t="n"/>
    </row>
    <row r="20">
      <c r="A20" s="4" t="inlineStr">
        <is>
          <t>NRP Upgrade ($6.00 per hinge)</t>
        </is>
      </c>
      <c r="B20" s="8">
        <f>wholesale!B20*2</f>
        <v/>
      </c>
      <c r="C20" s="8">
        <f>wholesale!D20*2</f>
        <v/>
      </c>
    </row>
    <row r="21">
      <c r="A21" s="3" t="inlineStr">
        <is>
          <t xml:space="preserve">Install 3 ea 4" x 4" Solid Brass Hinges </t>
        </is>
      </c>
      <c r="B21" s="8">
        <f>wholesale!B21*2</f>
        <v/>
      </c>
      <c r="C21" s="8">
        <f>wholesale!D21*2</f>
        <v/>
      </c>
    </row>
    <row r="22">
      <c r="A22" s="4" t="inlineStr">
        <is>
          <t>Install 3 ea 4" x 4" Stainless NRP Hinges                                                 22.50 Each</t>
        </is>
      </c>
      <c r="B22" s="8">
        <f>wholesale!B22*2</f>
        <v/>
      </c>
      <c r="C22" s="8">
        <f>wholesale!D22*2</f>
        <v/>
      </c>
    </row>
    <row r="23">
      <c r="A23" s="3" t="inlineStr">
        <is>
          <t xml:space="preserve">Install Spring Hinge  4"x 4" US4, each </t>
        </is>
      </c>
      <c r="B23" s="8">
        <f>wholesale!B23*2</f>
        <v/>
      </c>
      <c r="C23" s="8" t="n"/>
    </row>
    <row r="24">
      <c r="A24" s="4" t="inlineStr">
        <is>
          <t>Install Spring Hinge 4" x 4"US3, US5, US10B, US15, RS26, US26D, L1 Black, each</t>
        </is>
      </c>
      <c r="B24" s="8">
        <f>wholesale!B24*2</f>
        <v/>
      </c>
      <c r="C24" s="8" t="n"/>
    </row>
    <row r="25">
      <c r="A25" s="4" t="inlineStr">
        <is>
          <t xml:space="preserve">20 Min Fire Door Hinge Upgrade, 2 Spring hinges on 6/8 Door   </t>
        </is>
      </c>
      <c r="B25" s="8" t="n">
        <v>54</v>
      </c>
      <c r="C25" s="8" t="n"/>
    </row>
    <row r="26">
      <c r="A26" s="4" t="inlineStr">
        <is>
          <t xml:space="preserve">20 Min Fire Door Hinge Upgrade, 2 Spring Hinges on 8/0 Door   </t>
        </is>
      </c>
      <c r="B26" s="8" t="n">
        <v>60</v>
      </c>
      <c r="C26" s="8" t="n"/>
      <c r="G26" s="9" t="n"/>
      <c r="I26" s="9" t="n"/>
    </row>
    <row r="27">
      <c r="A27" s="1" t="n"/>
      <c r="B27" s="8" t="n"/>
      <c r="C27" s="8" t="n"/>
      <c r="G27" s="9" t="n"/>
      <c r="I27" s="9" t="n"/>
    </row>
    <row r="28">
      <c r="A28" s="1" t="inlineStr">
        <is>
          <t>Hinges Commercial Grade,  Square Corner</t>
        </is>
      </c>
      <c r="B28" s="8" t="n"/>
      <c r="C28" s="8" t="n"/>
      <c r="G28" s="9" t="n"/>
      <c r="I28" s="9" t="n"/>
    </row>
    <row r="29">
      <c r="A29" s="4" t="inlineStr">
        <is>
          <t>Install 3 ea 4" x 4" Plain Bearing, All finishes</t>
        </is>
      </c>
      <c r="B29" s="8">
        <f>wholesale!B29*2</f>
        <v/>
      </c>
      <c r="C29" s="8">
        <f>wholesale!D29*2</f>
        <v/>
      </c>
    </row>
    <row r="30">
      <c r="A30" s="4" t="inlineStr">
        <is>
          <t>Install 4 ea, 4" x 4"Plain Bearing, All finishes</t>
        </is>
      </c>
      <c r="B30" s="8">
        <f>wholesale!B30*2</f>
        <v/>
      </c>
      <c r="C30" s="8">
        <f>wholesale!D30*2</f>
        <v/>
      </c>
    </row>
    <row r="31">
      <c r="A31" s="3" t="inlineStr">
        <is>
          <t>Install 3 ea 4" x 4" Ball Bearing Hinges, US4</t>
        </is>
      </c>
      <c r="B31" s="8">
        <f>wholesale!B31*2</f>
        <v/>
      </c>
      <c r="C31" s="8">
        <f>wholesale!D31*2</f>
        <v/>
      </c>
    </row>
    <row r="32">
      <c r="A32" s="3" t="inlineStr">
        <is>
          <t>Install 4 ea 4" x 4" Ball Bearing Hinges, US4</t>
        </is>
      </c>
      <c r="B32" s="8">
        <f>wholesale!B32*2</f>
        <v/>
      </c>
      <c r="C32" s="8">
        <f>wholesale!D32*2</f>
        <v/>
      </c>
    </row>
    <row r="33">
      <c r="A33" s="4" t="inlineStr">
        <is>
          <t>Install 3 ea 4" x  4" Ball Bearing Hinges,US3, US5, 10B, 15, 15A, 26, 26D, L1 Black</t>
        </is>
      </c>
      <c r="B33" s="8">
        <f>wholesale!B33*2</f>
        <v/>
      </c>
      <c r="C33" s="8">
        <f>wholesale!D33*2</f>
        <v/>
      </c>
    </row>
    <row r="34">
      <c r="A34" s="4" t="inlineStr">
        <is>
          <t>Install 4 ea 4" x  4" Ball Bearing Hinges,US3, US5, 10B, 15, 15A, 26, 26D, L1 Black</t>
        </is>
      </c>
      <c r="B34" s="8">
        <f>wholesale!B34*2</f>
        <v/>
      </c>
      <c r="C34" s="8" t="n">
        <v>221</v>
      </c>
    </row>
    <row r="35">
      <c r="A35" s="4" t="inlineStr">
        <is>
          <t>Spring Hinge, ea, Commercial Grade US3,4,5,10B,15, 15A, 26,26D, L1 Black</t>
        </is>
      </c>
      <c r="B35" s="8">
        <f>wholesale!B35*2</f>
        <v/>
      </c>
      <c r="C35" s="8" t="n"/>
    </row>
    <row r="36">
      <c r="A36" s="4" t="inlineStr">
        <is>
          <t>NRP upgrade (3 hinges)</t>
        </is>
      </c>
      <c r="B36" s="8" t="n">
        <v>22</v>
      </c>
      <c r="C36" s="8" t="n">
        <v>44</v>
      </c>
    </row>
    <row r="37">
      <c r="A37" s="4" t="inlineStr">
        <is>
          <t>NRP 3 ea 4" x 4" Plain Bearing, Stainless Steel.                                       30.00 Each</t>
        </is>
      </c>
      <c r="B37" s="8" t="n">
        <v>90</v>
      </c>
      <c r="C37" s="8" t="n">
        <v>180</v>
      </c>
    </row>
    <row r="38">
      <c r="A38" s="4" t="inlineStr">
        <is>
          <t>20 Min Fire Door Hinge Upgrade, 2 Spring hinges on 6/8</t>
        </is>
      </c>
      <c r="B38" s="8" t="n">
        <v>136</v>
      </c>
      <c r="C38" s="8" t="n"/>
    </row>
    <row r="39">
      <c r="A39" s="4" t="inlineStr">
        <is>
          <t>20 Min Fire Door Hinge Upgrade, 2 Spring hinges on 8/0</t>
        </is>
      </c>
      <c r="B39" s="8" t="n">
        <v>151</v>
      </c>
      <c r="C39" s="8" t="n"/>
    </row>
    <row r="40">
      <c r="A40" s="4" t="n"/>
      <c r="B40" s="8" t="n"/>
      <c r="C40" s="8" t="n"/>
    </row>
    <row r="41">
      <c r="A41" s="1" t="n"/>
      <c r="B41" s="8" t="n"/>
      <c r="C41" s="8" t="n"/>
    </row>
    <row r="42">
      <c r="A42" s="1" t="inlineStr">
        <is>
          <t>Boring &amp; Mortising Options</t>
        </is>
      </c>
      <c r="B42" s="8" t="n"/>
      <c r="C42" s="8" t="n"/>
    </row>
    <row r="43">
      <c r="A43" s="4" t="inlineStr">
        <is>
          <t>Mortise Lockset,  Baldwin etc.</t>
        </is>
      </c>
      <c r="B43" s="8" t="n">
        <v>238</v>
      </c>
      <c r="C43" s="27" t="n"/>
    </row>
    <row r="44">
      <c r="A44" s="3" t="inlineStr">
        <is>
          <t>Prep Passive Door for Mortise Style Trim</t>
        </is>
      </c>
      <c r="B44" s="8" t="n">
        <v>91</v>
      </c>
      <c r="C44" s="28" t="n"/>
    </row>
    <row r="45">
      <c r="A45" s="3" t="inlineStr">
        <is>
          <t>Bore Passive Door</t>
        </is>
      </c>
      <c r="B45" s="8" t="n"/>
      <c r="C45" s="29" t="n">
        <v>94</v>
      </c>
    </row>
    <row r="46">
      <c r="A46" s="3" t="inlineStr">
        <is>
          <t>Bore for Non-Standard Deadbolt Lock</t>
        </is>
      </c>
      <c r="B46" s="8" t="n">
        <v>67</v>
      </c>
      <c r="C46" s="28" t="n"/>
    </row>
    <row r="47">
      <c r="A47" s="4" t="inlineStr">
        <is>
          <t>Mortise, Supply and Install 12" Extension Flushbolt, each</t>
        </is>
      </c>
      <c r="B47" s="8" t="n"/>
      <c r="C47" s="27" t="n">
        <v>160</v>
      </c>
    </row>
    <row r="48">
      <c r="A48" s="4" t="inlineStr">
        <is>
          <t>Bore for Baldwin 2 Point Lock</t>
        </is>
      </c>
      <c r="B48" s="8" t="n">
        <v>53</v>
      </c>
      <c r="C48" s="28" t="n">
        <v>103</v>
      </c>
    </row>
    <row r="49">
      <c r="B49" s="8" t="n"/>
      <c r="C49" s="8" t="n"/>
    </row>
    <row r="50">
      <c r="B50" s="8" t="n"/>
      <c r="C50" s="8" t="n"/>
    </row>
    <row r="51">
      <c r="A51" s="3" t="inlineStr">
        <is>
          <t xml:space="preserve">                                                                                         Page 5</t>
        </is>
      </c>
      <c r="B51" s="8" t="n"/>
      <c r="C51" s="8" t="n"/>
    </row>
    <row r="52">
      <c r="B52" s="8" t="n"/>
      <c r="C52" s="8" t="n"/>
    </row>
  </sheetData>
  <conditionalFormatting sqref="A3:C21 B22:C22 B37:C37 A23:C28 A29:A36 B29:C35 A38:C48">
    <cfRule type="expression" priority="4" dxfId="1">
      <formula>MOD(ROW(),2)=1</formula>
    </cfRule>
  </conditionalFormatting>
  <conditionalFormatting sqref="A22">
    <cfRule type="expression" priority="3" dxfId="1">
      <formula>MOD(ROW(),2)=1</formula>
    </cfRule>
  </conditionalFormatting>
  <conditionalFormatting sqref="A37">
    <cfRule type="expression" priority="2" dxfId="1">
      <formula>MOD(ROW(),2)=1</formula>
    </cfRule>
  </conditionalFormatting>
  <conditionalFormatting sqref="A3:C48">
    <cfRule type="expression" priority="1" dxfId="0">
      <formula>MOD(ROW(),2)=1</formula>
    </cfRule>
  </conditionalFormatting>
  <printOptions horizontalCentered="1"/>
  <pageMargins left="0" right="0" top="1.58" bottom="0.25" header="0.59" footer="0.25"/>
  <pageSetup orientation="portrait"/>
  <headerFooter alignWithMargins="0">
    <oddHeader>&amp;L&amp;"Arial,Bold"A  BETTER  DOOR_x000a_&amp;C&amp;"Arial,Bold"EXTERIOR _x000a_PRE-HUNG_x000a_DOOR OPTIONS&amp;R&amp;"Arial,Bold"RETAIL PRICES_x000a_EFFECTIVE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Wayen Lawson</dc:creator>
  <dcterms:created xsi:type="dcterms:W3CDTF">2004-06-17T15:01:43Z</dcterms:created>
  <dcterms:modified xsi:type="dcterms:W3CDTF">2020-08-29T20:24:49Z</dcterms:modified>
  <cp:lastModifiedBy>Margo</cp:lastModifiedBy>
  <cp:lastPrinted>2020-08-29T20:24:04Z</cp:lastPrinted>
</cp:coreProperties>
</file>