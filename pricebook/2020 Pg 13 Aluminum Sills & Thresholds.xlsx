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'wholesale'!$A$1:$J$48</definedName>
    <definedName name="_xlnm.Print_Area" localSheetId="1">'retail'!$A$1:$I$48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sz val="12"/>
      <u val="single"/>
    </font>
    <font>
      <name val="Arial"/>
      <family val="2"/>
      <sz val="11"/>
    </font>
    <font>
      <name val="Arial"/>
      <family val="2"/>
      <color indexed="10"/>
      <sz val="11"/>
    </font>
    <font>
      <name val="Helvetica"/>
      <family val="2"/>
      <color rgb="FF454545"/>
      <sz val="12"/>
    </font>
    <font>
      <name val="Arial"/>
      <family val="2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4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  <xf numFmtId="4" fontId="5" fillId="0" borderId="0" pivotButton="0" quotePrefix="0" xfId="0"/>
    <xf numFmtId="0" fontId="1" fillId="0" borderId="0" pivotButton="0" quotePrefix="0" xfId="0"/>
    <xf numFmtId="49" fontId="3" fillId="0" borderId="0" applyAlignment="1" pivotButton="0" quotePrefix="0" xfId="0">
      <alignment horizontal="center"/>
    </xf>
    <xf numFmtId="4" fontId="6" fillId="0" borderId="0" pivotButton="0" quotePrefix="0" xfId="0"/>
    <xf numFmtId="0" fontId="7" fillId="0" borderId="0" pivotButton="0" quotePrefix="0" xfId="0"/>
    <xf numFmtId="12" fontId="3" fillId="0" borderId="0" applyAlignment="1" pivotButton="0" quotePrefix="0" xfId="0">
      <alignment horizontal="center"/>
    </xf>
    <xf numFmtId="4" fontId="1" fillId="0" borderId="0" pivotButton="0" quotePrefix="0" xfId="0"/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3"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K50"/>
  <sheetViews>
    <sheetView tabSelected="1" view="pageBreakPreview" zoomScale="122" zoomScaleNormal="130" zoomScaleSheetLayoutView="122" zoomScalePageLayoutView="130" workbookViewId="0">
      <selection activeCell="A15" sqref="A15"/>
    </sheetView>
  </sheetViews>
  <sheetFormatPr baseColWidth="8" defaultColWidth="8.7109375" defaultRowHeight="12.75"/>
  <cols>
    <col width="14.42578125" customWidth="1" style="20" min="1" max="1"/>
    <col width="8.7109375" customWidth="1" style="23" min="2" max="2"/>
    <col width="11.28515625" customWidth="1" style="23" min="3" max="3"/>
    <col width="13.140625" customWidth="1" style="20" min="4" max="4"/>
    <col width="13.7109375" customWidth="1" style="20" min="5" max="5"/>
    <col hidden="1" width="7.140625" customWidth="1" style="13" min="6" max="6"/>
    <col hidden="1" width="8.7109375" customWidth="1" style="13" min="7" max="7"/>
    <col hidden="1" width="10.140625" customWidth="1" style="13" min="8" max="8"/>
    <col width="16.7109375" customWidth="1" style="13" min="9" max="9"/>
    <col width="8.7109375" customWidth="1" style="23" min="10" max="10"/>
    <col width="8.7109375" customWidth="1" style="23" min="11" max="16384"/>
  </cols>
  <sheetData>
    <row r="1" ht="15.75" customFormat="1" customHeight="1" s="22">
      <c r="A1" s="21" t="inlineStr">
        <is>
          <t>Inswing Combo Sills</t>
        </is>
      </c>
      <c r="E1" s="1" t="n"/>
      <c r="F1" s="2" t="inlineStr">
        <is>
          <t>ABD cost 6/10</t>
        </is>
      </c>
      <c r="G1" s="2" t="n"/>
      <c r="H1" s="2" t="n"/>
      <c r="I1" s="2" t="n"/>
    </row>
    <row r="2" ht="15" customHeight="1">
      <c r="A2" s="4" t="inlineStr">
        <is>
          <t>Width</t>
        </is>
      </c>
      <c r="B2" s="5" t="inlineStr">
        <is>
          <t>Finish</t>
        </is>
      </c>
      <c r="C2" s="5" t="inlineStr">
        <is>
          <t>Size</t>
        </is>
      </c>
      <c r="D2" s="4" t="inlineStr">
        <is>
          <t>Size</t>
        </is>
      </c>
      <c r="E2" s="4" t="inlineStr">
        <is>
          <t>Order #</t>
        </is>
      </c>
      <c r="F2" s="6" t="inlineStr">
        <is>
          <t>Cost/inch</t>
        </is>
      </c>
      <c r="G2" s="7" t="inlineStr">
        <is>
          <t>Prep fee</t>
        </is>
      </c>
      <c r="H2" s="6" t="inlineStr">
        <is>
          <t>Cost/ea</t>
        </is>
      </c>
      <c r="I2" s="6" t="n"/>
    </row>
    <row r="3" ht="15" customHeight="1">
      <c r="A3" s="4" t="n"/>
      <c r="B3" s="5" t="n"/>
      <c r="C3" s="5" t="n"/>
      <c r="D3" s="4" t="n"/>
      <c r="E3" s="4" t="n"/>
      <c r="F3" s="6" t="n"/>
      <c r="G3" s="7" t="n"/>
      <c r="H3" s="6" t="n"/>
      <c r="I3" s="7" t="n"/>
    </row>
    <row r="4" ht="15.75" customHeight="1">
      <c r="A4" s="9" t="inlineStr">
        <is>
          <t>5 3/4</t>
        </is>
      </c>
      <c r="B4" s="5" t="inlineStr">
        <is>
          <t>Bronze</t>
        </is>
      </c>
      <c r="C4" s="5" t="n"/>
      <c r="D4" s="4" t="inlineStr">
        <is>
          <t>Per Foot</t>
        </is>
      </c>
      <c r="E4" s="4" t="inlineStr">
        <is>
          <t>S-56D</t>
        </is>
      </c>
      <c r="F4" s="10" t="n">
        <v>1</v>
      </c>
      <c r="G4" s="7" t="n"/>
      <c r="H4" s="7" t="n"/>
      <c r="I4" s="7" t="n">
        <v>10</v>
      </c>
      <c r="K4" s="11" t="n"/>
    </row>
    <row r="5" ht="15" customHeight="1">
      <c r="A5" s="4" t="inlineStr">
        <is>
          <t xml:space="preserve">  </t>
        </is>
      </c>
      <c r="B5" s="5" t="n"/>
      <c r="C5" s="5" t="inlineStr">
        <is>
          <t>(3/0)</t>
        </is>
      </c>
      <c r="D5" s="4" t="inlineStr">
        <is>
          <t>37.5 inches</t>
        </is>
      </c>
      <c r="E5" s="4" t="n"/>
      <c r="F5" s="10" t="n">
        <v>1</v>
      </c>
      <c r="G5" s="7" t="n">
        <v>1</v>
      </c>
      <c r="H5" s="7">
        <f>(D5*F5)+0.4</f>
        <v/>
      </c>
      <c r="I5" s="7" t="n">
        <v>29</v>
      </c>
    </row>
    <row r="6" ht="15" customHeight="1">
      <c r="A6" s="4" t="n"/>
      <c r="B6" s="5" t="n"/>
      <c r="C6" s="5" t="inlineStr">
        <is>
          <t>(2/8)</t>
        </is>
      </c>
      <c r="D6" s="4" t="inlineStr">
        <is>
          <t>33.5 inches</t>
        </is>
      </c>
      <c r="E6" s="4" t="n"/>
      <c r="F6" s="10" t="n">
        <v>1</v>
      </c>
      <c r="G6" s="7" t="n">
        <v>1</v>
      </c>
      <c r="H6" s="7">
        <f>(D6*F6)+0.4</f>
        <v/>
      </c>
      <c r="I6" s="7" t="n">
        <v>26</v>
      </c>
    </row>
    <row r="7" ht="15" customHeight="1">
      <c r="A7" s="4" t="n"/>
      <c r="B7" s="5" t="n"/>
      <c r="C7" s="5" t="inlineStr">
        <is>
          <t>(2/6)</t>
        </is>
      </c>
      <c r="D7" s="4" t="inlineStr">
        <is>
          <t>31.5 inches</t>
        </is>
      </c>
      <c r="E7" s="4" t="n"/>
      <c r="F7" s="10" t="n">
        <v>1</v>
      </c>
      <c r="G7" s="7" t="n">
        <v>1</v>
      </c>
      <c r="H7" s="7">
        <f>(D7*F7)+0.4</f>
        <v/>
      </c>
      <c r="I7" s="7" t="n">
        <v>23.5</v>
      </c>
    </row>
    <row r="8" ht="15" customHeight="1">
      <c r="A8" s="12" t="n">
        <v>6.5</v>
      </c>
      <c r="B8" s="5" t="inlineStr">
        <is>
          <t>Mill</t>
        </is>
      </c>
      <c r="C8" s="5" t="n"/>
      <c r="D8" s="4" t="inlineStr">
        <is>
          <t>Per Foot</t>
        </is>
      </c>
      <c r="E8" s="4" t="inlineStr">
        <is>
          <t>S-56A</t>
        </is>
      </c>
      <c r="F8" s="10" t="n">
        <v>1</v>
      </c>
      <c r="G8" s="7" t="n"/>
      <c r="H8" s="7" t="n"/>
      <c r="I8" s="7" t="n">
        <v>8</v>
      </c>
    </row>
    <row r="9" ht="15" customHeight="1">
      <c r="A9" s="4" t="n"/>
      <c r="B9" s="5" t="n"/>
      <c r="C9" s="5" t="inlineStr">
        <is>
          <t>(3/0)</t>
        </is>
      </c>
      <c r="D9" s="4" t="inlineStr">
        <is>
          <t>37.5 inches</t>
        </is>
      </c>
      <c r="E9" s="4" t="n"/>
      <c r="F9" s="10" t="n">
        <v>1</v>
      </c>
      <c r="G9" s="7" t="n">
        <v>1</v>
      </c>
      <c r="H9" s="7">
        <f>(D9*F9)+0.4</f>
        <v/>
      </c>
      <c r="I9" s="7" t="n">
        <v>21.5</v>
      </c>
    </row>
    <row r="10" ht="15" customHeight="1">
      <c r="A10" s="4" t="n"/>
      <c r="B10" s="5" t="n"/>
      <c r="C10" s="5" t="inlineStr">
        <is>
          <t>(2/8)</t>
        </is>
      </c>
      <c r="D10" s="4" t="inlineStr">
        <is>
          <t>33.5 inches</t>
        </is>
      </c>
      <c r="E10" s="4" t="n"/>
      <c r="F10" s="10" t="n">
        <v>1</v>
      </c>
      <c r="G10" s="7" t="n">
        <v>1</v>
      </c>
      <c r="H10" s="7">
        <f>(D10*F10)+0.4</f>
        <v/>
      </c>
      <c r="I10" s="7" t="n">
        <v>20</v>
      </c>
    </row>
    <row r="11" ht="15" customHeight="1">
      <c r="A11" s="4" t="n"/>
      <c r="B11" s="5" t="n"/>
      <c r="C11" s="5" t="inlineStr">
        <is>
          <t>(2/6)</t>
        </is>
      </c>
      <c r="D11" s="4" t="inlineStr">
        <is>
          <t>31.5 inches</t>
        </is>
      </c>
      <c r="E11" s="4" t="n"/>
      <c r="F11" s="10" t="n">
        <v>1</v>
      </c>
      <c r="G11" s="7" t="n">
        <v>1</v>
      </c>
      <c r="H11" s="7">
        <f>(D11*F11)+0.4</f>
        <v/>
      </c>
      <c r="I11" s="7" t="n">
        <v>17</v>
      </c>
    </row>
    <row r="12" ht="15" customHeight="1">
      <c r="A12" s="12" t="n">
        <v>9</v>
      </c>
      <c r="B12" s="5" t="inlineStr">
        <is>
          <t>Bronze</t>
        </is>
      </c>
      <c r="C12" s="5" t="n"/>
      <c r="D12" s="4" t="inlineStr">
        <is>
          <t>Per Foot</t>
        </is>
      </c>
      <c r="E12" s="4" t="inlineStr">
        <is>
          <t>S-76D</t>
        </is>
      </c>
      <c r="F12" s="10" t="n">
        <v>1</v>
      </c>
      <c r="G12" s="7" t="n"/>
      <c r="H12" s="7">
        <f>12*F12</f>
        <v/>
      </c>
      <c r="I12" s="7" t="n">
        <v>12.5</v>
      </c>
    </row>
    <row r="13" ht="15" customHeight="1">
      <c r="A13" s="4" t="n"/>
      <c r="B13" s="5" t="n"/>
      <c r="C13" s="5" t="inlineStr">
        <is>
          <t>(3/0)</t>
        </is>
      </c>
      <c r="D13" s="4" t="inlineStr">
        <is>
          <t>37.5 inches</t>
        </is>
      </c>
      <c r="E13" s="4" t="n"/>
      <c r="F13" s="10" t="n">
        <v>1</v>
      </c>
      <c r="G13" s="7" t="n">
        <v>1</v>
      </c>
      <c r="H13" s="7">
        <f>(D13*F13)+0.4</f>
        <v/>
      </c>
      <c r="I13" s="7" t="n">
        <v>36</v>
      </c>
    </row>
    <row r="14" ht="15" customHeight="1">
      <c r="A14" s="4" t="n"/>
      <c r="B14" s="5" t="n"/>
      <c r="C14" s="5" t="inlineStr">
        <is>
          <t>(2/8)</t>
        </is>
      </c>
      <c r="D14" s="4" t="inlineStr">
        <is>
          <t>33.5 inches</t>
        </is>
      </c>
      <c r="E14" s="4" t="n"/>
      <c r="F14" s="10" t="n">
        <v>1</v>
      </c>
      <c r="G14" s="7" t="n">
        <v>1</v>
      </c>
      <c r="H14" s="7">
        <f>(D14*F14)+0.4</f>
        <v/>
      </c>
      <c r="I14" s="7" t="n">
        <v>29.5</v>
      </c>
    </row>
    <row r="15" ht="15" customHeight="1">
      <c r="A15" s="4" t="n"/>
      <c r="B15" s="5" t="n"/>
      <c r="C15" s="5" t="inlineStr">
        <is>
          <t>(2/6)</t>
        </is>
      </c>
      <c r="D15" s="4" t="inlineStr">
        <is>
          <t>31.5 inches</t>
        </is>
      </c>
      <c r="E15" s="4" t="n"/>
      <c r="F15" s="10" t="n">
        <v>1</v>
      </c>
      <c r="G15" s="7" t="n">
        <v>1</v>
      </c>
      <c r="H15" s="7">
        <f>(D15*F15)+0.4</f>
        <v/>
      </c>
      <c r="I15" s="7" t="n">
        <v>28</v>
      </c>
    </row>
    <row r="16" ht="15" customHeight="1">
      <c r="A16" s="4" t="n"/>
      <c r="B16" s="5" t="n"/>
      <c r="C16" s="5" t="n"/>
      <c r="D16" s="4" t="n"/>
      <c r="E16" s="4" t="n"/>
      <c r="F16" s="7" t="n"/>
      <c r="G16" s="7" t="n"/>
      <c r="H16" s="7" t="n"/>
    </row>
    <row r="17" ht="15" customHeight="1">
      <c r="A17" s="12" t="n">
        <v>9</v>
      </c>
      <c r="B17" s="5" t="inlineStr">
        <is>
          <t>Mill</t>
        </is>
      </c>
      <c r="C17" s="5" t="n"/>
      <c r="D17" s="4" t="inlineStr">
        <is>
          <t>Per Foot</t>
        </is>
      </c>
      <c r="E17" s="4" t="inlineStr">
        <is>
          <t>S-76A</t>
        </is>
      </c>
      <c r="F17" s="10" t="n">
        <v>1</v>
      </c>
      <c r="G17" s="7" t="n"/>
      <c r="H17" s="7" t="n"/>
      <c r="I17" s="7" t="n">
        <v>10</v>
      </c>
    </row>
    <row r="18" ht="15" customHeight="1">
      <c r="A18" s="4" t="n"/>
      <c r="B18" s="5" t="n"/>
      <c r="C18" s="5" t="inlineStr">
        <is>
          <t>(3/0)</t>
        </is>
      </c>
      <c r="D18" s="4" t="inlineStr">
        <is>
          <t>37.5 inches</t>
        </is>
      </c>
      <c r="E18" s="14" t="n"/>
      <c r="F18" s="10" t="n">
        <v>1</v>
      </c>
      <c r="G18" s="7" t="n">
        <v>1</v>
      </c>
      <c r="H18" s="7">
        <f>(D18*F18)+0.4</f>
        <v/>
      </c>
      <c r="I18" s="7" t="n">
        <v>31</v>
      </c>
    </row>
    <row r="19" ht="15" customHeight="1">
      <c r="A19" s="4" t="n"/>
      <c r="B19" s="5" t="n"/>
      <c r="C19" s="5" t="inlineStr">
        <is>
          <t>(2/8)</t>
        </is>
      </c>
      <c r="D19" s="4" t="inlineStr">
        <is>
          <t>33.5 inches</t>
        </is>
      </c>
      <c r="E19" s="14" t="n"/>
      <c r="F19" s="10" t="n">
        <v>1</v>
      </c>
      <c r="G19" s="7" t="n">
        <v>1</v>
      </c>
      <c r="H19" s="7">
        <f>(D19*F19)+0.4</f>
        <v/>
      </c>
      <c r="I19" s="7" t="n">
        <v>28</v>
      </c>
    </row>
    <row r="20" ht="15" customHeight="1">
      <c r="A20" s="4" t="n"/>
      <c r="B20" s="5" t="n"/>
      <c r="C20" s="5" t="inlineStr">
        <is>
          <t>(2/6)</t>
        </is>
      </c>
      <c r="D20" s="4" t="inlineStr">
        <is>
          <t>31.5 inches</t>
        </is>
      </c>
      <c r="E20" s="14" t="n"/>
      <c r="F20" s="10" t="n">
        <v>1</v>
      </c>
      <c r="G20" s="7" t="n">
        <v>1</v>
      </c>
      <c r="H20" s="7">
        <f>(D20*F20)+0.4</f>
        <v/>
      </c>
      <c r="I20" s="7" t="n">
        <v>26.5</v>
      </c>
    </row>
    <row r="21">
      <c r="A21" s="1" t="n"/>
      <c r="B21" s="22" t="n"/>
      <c r="C21" s="22" t="n"/>
      <c r="D21" s="1" t="n"/>
    </row>
    <row r="22" ht="15.75" customHeight="1">
      <c r="A22" s="21" t="inlineStr">
        <is>
          <t xml:space="preserve">Adjustable Sill, Oak with Bronze or Mill </t>
        </is>
      </c>
      <c r="E22" s="20" t="inlineStr">
        <is>
          <t xml:space="preserve">        CALL FOR</t>
        </is>
      </c>
      <c r="I22" s="16" t="inlineStr">
        <is>
          <t>PRICE AND AVAILABILITY</t>
        </is>
      </c>
      <c r="K22" s="16" t="n"/>
    </row>
    <row r="23">
      <c r="A23" s="1" t="n"/>
      <c r="B23" s="22" t="n"/>
      <c r="C23" s="22" t="n"/>
      <c r="D23" s="1" t="n"/>
    </row>
    <row r="24" ht="15.75" customFormat="1" customHeight="1" s="23">
      <c r="A24" s="21" t="inlineStr">
        <is>
          <t>Outswing Combo Sills</t>
        </is>
      </c>
      <c r="E24" s="20" t="n"/>
      <c r="F24" s="13" t="n"/>
      <c r="G24" s="13" t="n"/>
      <c r="H24" s="13" t="n"/>
      <c r="I24" s="13" t="n"/>
    </row>
    <row r="25" ht="15" customHeight="1">
      <c r="A25" s="12" t="n">
        <v>5.5</v>
      </c>
      <c r="B25" s="5" t="inlineStr">
        <is>
          <t>Bronze</t>
        </is>
      </c>
      <c r="C25" s="5" t="n"/>
      <c r="D25" s="4" t="inlineStr">
        <is>
          <t>Per foot</t>
        </is>
      </c>
      <c r="E25" s="4" t="n"/>
      <c r="F25" s="10" t="n">
        <v>1</v>
      </c>
      <c r="G25" s="7" t="n">
        <v>0</v>
      </c>
      <c r="H25" s="7" t="n"/>
      <c r="I25" s="7" t="n">
        <v>9.5</v>
      </c>
    </row>
    <row r="26" ht="15" customHeight="1">
      <c r="A26" s="4" t="n"/>
      <c r="B26" s="5" t="inlineStr">
        <is>
          <t>Mill</t>
        </is>
      </c>
      <c r="C26" s="5" t="n"/>
      <c r="D26" s="4" t="inlineStr">
        <is>
          <t>Per foot</t>
        </is>
      </c>
      <c r="E26" s="4" t="n"/>
      <c r="F26" s="10" t="n">
        <v>1</v>
      </c>
      <c r="G26" s="7" t="n">
        <v>0</v>
      </c>
      <c r="H26" s="7" t="n"/>
      <c r="I26" s="7" t="n">
        <v>8</v>
      </c>
    </row>
    <row r="27" ht="15" customHeight="1">
      <c r="A27" s="12" t="n">
        <v>6.5</v>
      </c>
      <c r="B27" s="5" t="inlineStr">
        <is>
          <t>Bronze</t>
        </is>
      </c>
      <c r="C27" s="5" t="n"/>
      <c r="D27" s="4" t="inlineStr">
        <is>
          <t>Per foot</t>
        </is>
      </c>
      <c r="E27" s="4" t="n"/>
      <c r="F27" s="10" t="n">
        <v>1</v>
      </c>
      <c r="G27" s="7" t="n">
        <v>0</v>
      </c>
      <c r="H27" s="7" t="n"/>
      <c r="I27" s="7" t="n">
        <v>10</v>
      </c>
    </row>
    <row r="28" ht="15" customHeight="1">
      <c r="A28" s="4" t="n"/>
      <c r="B28" s="5" t="inlineStr">
        <is>
          <t>Mill</t>
        </is>
      </c>
      <c r="C28" s="5" t="n"/>
      <c r="D28" s="4" t="inlineStr">
        <is>
          <t>Per foot</t>
        </is>
      </c>
      <c r="E28" s="4" t="n"/>
      <c r="F28" s="10" t="n">
        <v>1</v>
      </c>
      <c r="G28" s="7" t="n">
        <v>0</v>
      </c>
      <c r="H28" s="7" t="n"/>
      <c r="I28" s="7" t="n">
        <v>8</v>
      </c>
    </row>
    <row r="29" ht="15" customHeight="1">
      <c r="A29" s="4" t="n"/>
      <c r="B29" s="5" t="n"/>
      <c r="C29" s="5" t="n"/>
      <c r="D29" s="4" t="n"/>
      <c r="E29" s="4" t="n"/>
      <c r="F29" s="7" t="n"/>
      <c r="G29" s="7" t="n"/>
      <c r="H29" s="7" t="n"/>
      <c r="I29" s="7" t="n"/>
    </row>
    <row r="30" ht="15.75" customHeight="1">
      <c r="A30" s="21" t="inlineStr">
        <is>
          <t>ADA Threshold</t>
        </is>
      </c>
      <c r="D30" s="4" t="n"/>
      <c r="E30" s="4" t="n"/>
      <c r="F30" s="7" t="n"/>
      <c r="G30" s="7" t="n"/>
      <c r="H30" s="7" t="n"/>
      <c r="I30" s="7" t="n"/>
    </row>
    <row r="31" ht="15" customFormat="1" customHeight="1" s="22">
      <c r="A31" s="17" t="inlineStr">
        <is>
          <t>5" X 1/2"</t>
        </is>
      </c>
      <c r="B31" s="5" t="inlineStr">
        <is>
          <t>Bronze</t>
        </is>
      </c>
      <c r="C31" s="5" t="n"/>
      <c r="D31" s="4" t="inlineStr">
        <is>
          <t>Per foot</t>
        </is>
      </c>
      <c r="E31" s="4" t="inlineStr">
        <is>
          <t>T55D</t>
        </is>
      </c>
      <c r="F31" s="10" t="n">
        <v>1</v>
      </c>
      <c r="G31" s="7" t="n">
        <v>0</v>
      </c>
      <c r="H31" s="7" t="n"/>
      <c r="I31" s="7" t="n">
        <v>10</v>
      </c>
    </row>
    <row r="32" ht="15" customHeight="1">
      <c r="A32" s="17" t="inlineStr">
        <is>
          <t>6" X 1/2"</t>
        </is>
      </c>
      <c r="B32" s="5" t="inlineStr">
        <is>
          <t>Bronze</t>
        </is>
      </c>
      <c r="C32" s="5" t="n"/>
      <c r="D32" s="4" t="inlineStr">
        <is>
          <t>Per foot</t>
        </is>
      </c>
      <c r="E32" s="4" t="inlineStr">
        <is>
          <t>T65D</t>
        </is>
      </c>
      <c r="F32" s="10" t="n">
        <v>1</v>
      </c>
      <c r="G32" s="7" t="n">
        <v>0</v>
      </c>
      <c r="H32" s="7" t="n"/>
      <c r="I32" s="7" t="n">
        <v>12.5</v>
      </c>
    </row>
    <row r="33" ht="15" customHeight="1">
      <c r="A33" s="17" t="inlineStr">
        <is>
          <t>7" X 1/2"</t>
        </is>
      </c>
      <c r="B33" s="5" t="inlineStr">
        <is>
          <t>Bronze</t>
        </is>
      </c>
      <c r="C33" s="5" t="n"/>
      <c r="D33" s="4" t="inlineStr">
        <is>
          <t>Per foot</t>
        </is>
      </c>
      <c r="E33" s="4" t="inlineStr">
        <is>
          <t>T75D</t>
        </is>
      </c>
      <c r="F33" s="10" t="n">
        <v>1.5</v>
      </c>
      <c r="G33" s="7" t="n">
        <v>0</v>
      </c>
      <c r="H33" s="7" t="n"/>
      <c r="I33" s="7" t="n">
        <v>15.5</v>
      </c>
    </row>
    <row r="34" ht="15" customHeight="1">
      <c r="A34" s="17" t="inlineStr">
        <is>
          <t>8" X 1/2"</t>
        </is>
      </c>
      <c r="B34" s="5" t="inlineStr">
        <is>
          <t>Bronze</t>
        </is>
      </c>
      <c r="C34" s="5" t="n"/>
      <c r="D34" s="4" t="inlineStr">
        <is>
          <t>Per foot</t>
        </is>
      </c>
      <c r="E34" s="4" t="inlineStr">
        <is>
          <t>T85D</t>
        </is>
      </c>
      <c r="F34" s="10" t="n">
        <v>1.5</v>
      </c>
      <c r="G34" s="7" t="n">
        <v>0</v>
      </c>
      <c r="H34" s="7" t="n"/>
      <c r="I34" s="7" t="n">
        <v>17.5</v>
      </c>
    </row>
    <row r="35" ht="15" customHeight="1">
      <c r="A35" s="17" t="inlineStr">
        <is>
          <t>5" X 1/2"</t>
        </is>
      </c>
      <c r="B35" s="5" t="inlineStr">
        <is>
          <t>Mill</t>
        </is>
      </c>
      <c r="C35" s="5" t="n"/>
      <c r="D35" s="4" t="inlineStr">
        <is>
          <t>Per foot</t>
        </is>
      </c>
      <c r="E35" s="4" t="inlineStr">
        <is>
          <t>T55A</t>
        </is>
      </c>
      <c r="F35" s="10" t="n">
        <v>1</v>
      </c>
      <c r="G35" s="7" t="n">
        <v>0</v>
      </c>
      <c r="H35" s="7" t="n"/>
      <c r="I35" s="7" t="n">
        <v>8</v>
      </c>
    </row>
    <row r="36" ht="15" customHeight="1">
      <c r="A36" s="17" t="inlineStr">
        <is>
          <t>6" X 1/2"</t>
        </is>
      </c>
      <c r="B36" s="5" t="inlineStr">
        <is>
          <t>Mill</t>
        </is>
      </c>
      <c r="C36" s="5" t="n"/>
      <c r="D36" s="4" t="inlineStr">
        <is>
          <t>Per foot</t>
        </is>
      </c>
      <c r="E36" s="4" t="inlineStr">
        <is>
          <t>T65A</t>
        </is>
      </c>
      <c r="F36" s="10" t="n">
        <v>1</v>
      </c>
      <c r="G36" s="7" t="n">
        <v>0</v>
      </c>
      <c r="H36" s="7" t="n"/>
      <c r="I36" s="7" t="n">
        <v>10</v>
      </c>
    </row>
    <row r="37" ht="15" customHeight="1">
      <c r="A37" s="17" t="inlineStr">
        <is>
          <t>7" X 1/2"</t>
        </is>
      </c>
      <c r="B37" s="5" t="inlineStr">
        <is>
          <t>Mill</t>
        </is>
      </c>
      <c r="C37" s="5" t="n"/>
      <c r="D37" s="4" t="inlineStr">
        <is>
          <t>Per foot</t>
        </is>
      </c>
      <c r="E37" s="4" t="inlineStr">
        <is>
          <t>T75A</t>
        </is>
      </c>
      <c r="F37" s="10" t="n">
        <v>1</v>
      </c>
      <c r="G37" s="7" t="n">
        <v>0</v>
      </c>
      <c r="H37" s="7" t="n"/>
      <c r="I37" s="7" t="n">
        <v>11</v>
      </c>
    </row>
    <row r="38" ht="15" customHeight="1">
      <c r="A38" s="17" t="inlineStr">
        <is>
          <t>8" X 1/2"</t>
        </is>
      </c>
      <c r="B38" s="5" t="inlineStr">
        <is>
          <t>Mill</t>
        </is>
      </c>
      <c r="C38" s="5" t="n"/>
      <c r="D38" s="4" t="inlineStr">
        <is>
          <t>Per foot</t>
        </is>
      </c>
      <c r="E38" s="4" t="inlineStr">
        <is>
          <t>T85A</t>
        </is>
      </c>
      <c r="F38" s="10" t="n">
        <v>1.5</v>
      </c>
      <c r="G38" s="7" t="n">
        <v>0</v>
      </c>
      <c r="H38" s="7" t="n"/>
      <c r="I38" s="7" t="n">
        <v>17</v>
      </c>
    </row>
    <row r="39">
      <c r="A39" s="23" t="n"/>
      <c r="E39" s="23" t="n"/>
      <c r="F39" s="23" t="n"/>
      <c r="G39" s="23" t="n"/>
      <c r="H39" s="23" t="n"/>
      <c r="I39" s="23" t="n"/>
    </row>
    <row r="40" ht="15.75" customHeight="1">
      <c r="A40" s="21" t="inlineStr">
        <is>
          <t>Sill Nosing</t>
        </is>
      </c>
      <c r="C40" s="5" t="n"/>
      <c r="D40" s="4" t="n"/>
      <c r="E40" s="4" t="n"/>
      <c r="F40" s="6" t="n"/>
      <c r="G40" s="6" t="n"/>
      <c r="H40" s="6" t="n"/>
      <c r="I40" s="6" t="n"/>
    </row>
    <row r="41" ht="15" customHeight="1">
      <c r="A41" s="22" t="inlineStr">
        <is>
          <t>4-1/2" x 1-1/2"</t>
        </is>
      </c>
      <c r="B41" s="5" t="inlineStr">
        <is>
          <t>Bronze</t>
        </is>
      </c>
      <c r="C41" s="5" t="n"/>
      <c r="D41" s="4" t="inlineStr">
        <is>
          <t>Per foot</t>
        </is>
      </c>
      <c r="E41" s="4" t="inlineStr">
        <is>
          <t>SN45D</t>
        </is>
      </c>
      <c r="F41" s="10" t="n">
        <v>1</v>
      </c>
      <c r="G41" s="7" t="n">
        <v>0</v>
      </c>
      <c r="H41" s="7" t="n"/>
      <c r="I41" s="7" t="n">
        <v>7.5</v>
      </c>
    </row>
    <row r="42" ht="15" customHeight="1">
      <c r="A42" s="22" t="inlineStr">
        <is>
          <t>4-1/2" x 1-1/2"</t>
        </is>
      </c>
      <c r="B42" s="5" t="inlineStr">
        <is>
          <t>Mill</t>
        </is>
      </c>
      <c r="C42" s="5" t="n"/>
      <c r="D42" s="4" t="inlineStr">
        <is>
          <t>Per foot</t>
        </is>
      </c>
      <c r="E42" s="4" t="inlineStr">
        <is>
          <t>SN45A</t>
        </is>
      </c>
      <c r="F42" s="10" t="n">
        <v>1</v>
      </c>
      <c r="G42" s="7" t="n">
        <v>0</v>
      </c>
      <c r="H42" s="7" t="n"/>
      <c r="I42" s="7" t="n">
        <v>6</v>
      </c>
    </row>
    <row r="43"/>
    <row r="44" ht="15.75" customHeight="1">
      <c r="A44" s="21" t="inlineStr">
        <is>
          <t>Riser</t>
        </is>
      </c>
      <c r="C44" s="5" t="n"/>
      <c r="D44" s="4" t="n"/>
      <c r="E44" s="4" t="n"/>
      <c r="F44" s="7" t="n"/>
      <c r="G44" s="7" t="n">
        <v>0</v>
      </c>
      <c r="H44" s="7" t="n"/>
      <c r="I44" s="7" t="n"/>
    </row>
    <row r="45" ht="15" customHeight="1">
      <c r="A45" s="5" t="inlineStr">
        <is>
          <t>9/16 sill</t>
        </is>
      </c>
      <c r="B45" s="5" t="inlineStr">
        <is>
          <t>Bronze</t>
        </is>
      </c>
      <c r="C45" s="5" t="n"/>
      <c r="D45" s="4" t="inlineStr">
        <is>
          <t>Per foot</t>
        </is>
      </c>
      <c r="E45" s="4" t="inlineStr">
        <is>
          <t>SR-1D</t>
        </is>
      </c>
      <c r="F45" s="10" t="n">
        <v>1</v>
      </c>
      <c r="G45" s="7" t="n">
        <v>0</v>
      </c>
      <c r="H45" s="7" t="n"/>
      <c r="I45" s="7" t="n">
        <v>6.5</v>
      </c>
    </row>
    <row r="46" ht="15" customHeight="1">
      <c r="A46" s="5" t="inlineStr">
        <is>
          <t>9/16 sill</t>
        </is>
      </c>
      <c r="B46" s="5" t="inlineStr">
        <is>
          <t>Mill</t>
        </is>
      </c>
      <c r="C46" s="5" t="n"/>
      <c r="D46" s="4" t="inlineStr">
        <is>
          <t>Per foot</t>
        </is>
      </c>
      <c r="E46" s="4" t="inlineStr">
        <is>
          <t>SR-1A</t>
        </is>
      </c>
      <c r="F46" s="10" t="n">
        <v>1</v>
      </c>
      <c r="G46" s="7" t="n">
        <v>0</v>
      </c>
      <c r="H46" s="7" t="n"/>
      <c r="I46" s="7" t="n">
        <v>5</v>
      </c>
    </row>
    <row r="47" customFormat="1" s="22">
      <c r="D47" s="1" t="n"/>
    </row>
    <row r="48" customFormat="1" s="22">
      <c r="D48" s="1" t="inlineStr">
        <is>
          <t>Page 13</t>
        </is>
      </c>
    </row>
    <row r="49" customFormat="1" s="22">
      <c r="D49" s="1" t="n"/>
    </row>
    <row r="50">
      <c r="D50" s="1" t="n"/>
    </row>
  </sheetData>
  <mergeCells count="5">
    <mergeCell ref="A1:D1"/>
    <mergeCell ref="A24:D24"/>
    <mergeCell ref="A22:D22"/>
    <mergeCell ref="A30:C30"/>
    <mergeCell ref="A40:B40"/>
  </mergeCells>
  <conditionalFormatting sqref="A1:J46">
    <cfRule type="expression" priority="1">
      <formula>MOD(ROW(),2)=1</formula>
    </cfRule>
    <cfRule type="expression" priority="2" dxfId="0">
      <formula>MOD(ROW(),2)=1</formula>
    </cfRule>
    <cfRule type="expression" priority="3" dxfId="0">
      <formula>MOD(ROW(),2)=1</formula>
    </cfRule>
  </conditionalFormatting>
  <printOptions horizontalCentered="1"/>
  <pageMargins left="0.77" right="0.5" top="1.16" bottom="0.18" header="0.5" footer="0.22"/>
  <pageSetup orientation="portrait" scale="96"/>
  <headerFooter alignWithMargins="0">
    <oddHeader>&amp;L&amp;"Arial,Bold"A  BETTER  DOOR_x000a_MATERIALS PRICE LIST&amp;C&amp;"Arial,Bold"&amp;12 MATERIALS_x000a_ALUMINUM SILLS_x000a_AND THRESHOLDS&amp;R&amp;"Arial,Bold"WHOLESALE_x000a_EFFECTIVE  August 15, 2020</oddHeader>
    <oddFooter>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WhiteSpace="0" view="pageLayout" zoomScaleNormal="100" workbookViewId="0">
      <selection activeCell="A24" sqref="A24:D24"/>
    </sheetView>
  </sheetViews>
  <sheetFormatPr baseColWidth="8" defaultColWidth="8.7109375" defaultRowHeight="14.25"/>
  <cols>
    <col width="12.7109375" customWidth="1" style="20" min="1" max="1"/>
    <col width="8.7109375" customWidth="1" style="23" min="2" max="2"/>
    <col width="16.7109375" customWidth="1" style="23" min="3" max="3"/>
    <col width="14.42578125" customWidth="1" style="23" min="4" max="4"/>
    <col width="12.28515625" customWidth="1" style="20" min="5" max="5"/>
    <col hidden="1" width="7.140625" customWidth="1" style="13" min="6" max="6"/>
    <col hidden="1" width="8.7109375" customWidth="1" style="13" min="7" max="7"/>
    <col hidden="1" width="10.140625" customWidth="1" style="13" min="8" max="8"/>
    <col width="20.28515625" customWidth="1" style="7" min="9" max="9"/>
    <col width="8.7109375" customWidth="1" style="23" min="10" max="10"/>
    <col width="8.7109375" customWidth="1" style="23" min="11" max="16384"/>
  </cols>
  <sheetData>
    <row r="1" ht="15.75" customFormat="1" customHeight="1" s="22">
      <c r="A1" s="21" t="inlineStr">
        <is>
          <t>Inswing Combo Sills</t>
        </is>
      </c>
      <c r="E1" s="1" t="n"/>
      <c r="F1" s="2" t="inlineStr">
        <is>
          <t>ABD cost 6/10</t>
        </is>
      </c>
      <c r="G1" s="2" t="n"/>
      <c r="H1" s="2" t="n"/>
      <c r="I1" s="2" t="n"/>
    </row>
    <row r="2" ht="15" customHeight="1">
      <c r="A2" s="4" t="inlineStr">
        <is>
          <t>Width</t>
        </is>
      </c>
      <c r="B2" s="5" t="inlineStr">
        <is>
          <t>Finish</t>
        </is>
      </c>
      <c r="C2" s="5" t="inlineStr">
        <is>
          <t>Size</t>
        </is>
      </c>
      <c r="D2" s="5" t="inlineStr">
        <is>
          <t>Size</t>
        </is>
      </c>
      <c r="E2" s="4" t="inlineStr">
        <is>
          <t>Order #</t>
        </is>
      </c>
      <c r="F2" s="6" t="inlineStr">
        <is>
          <t>Cost/inch</t>
        </is>
      </c>
      <c r="G2" s="7" t="inlineStr">
        <is>
          <t>Prep fee</t>
        </is>
      </c>
      <c r="H2" s="6" t="inlineStr">
        <is>
          <t>Cost/ea</t>
        </is>
      </c>
      <c r="I2" s="6" t="n"/>
    </row>
    <row r="3" ht="15" customHeight="1">
      <c r="A3" s="4" t="n"/>
      <c r="B3" s="5" t="n"/>
      <c r="C3" s="5" t="n"/>
      <c r="D3" s="5" t="n"/>
      <c r="E3" s="4" t="n"/>
      <c r="F3" s="6" t="n"/>
      <c r="G3" s="7" t="n"/>
      <c r="H3" s="6" t="n"/>
    </row>
    <row r="4" ht="15" customHeight="1">
      <c r="A4" s="9" t="inlineStr">
        <is>
          <t>5 3/4</t>
        </is>
      </c>
      <c r="B4" s="5" t="inlineStr">
        <is>
          <t>Bronze</t>
        </is>
      </c>
      <c r="C4" s="5" t="n"/>
      <c r="D4" s="5" t="inlineStr">
        <is>
          <t>Per Foot</t>
        </is>
      </c>
      <c r="E4" s="4" t="inlineStr">
        <is>
          <t>S-56D</t>
        </is>
      </c>
      <c r="F4" s="10" t="n">
        <v>0.29</v>
      </c>
      <c r="G4" s="7" t="n"/>
      <c r="H4" s="7" t="n"/>
      <c r="I4" s="7">
        <f>wholesale!I4*2</f>
        <v/>
      </c>
    </row>
    <row r="5" ht="15" customHeight="1">
      <c r="A5" s="4" t="inlineStr">
        <is>
          <t xml:space="preserve">  </t>
        </is>
      </c>
      <c r="B5" s="5" t="n"/>
      <c r="C5" s="5" t="inlineStr">
        <is>
          <t>(3/0)</t>
        </is>
      </c>
      <c r="D5" s="5" t="inlineStr">
        <is>
          <t>37.5 inches</t>
        </is>
      </c>
      <c r="E5" s="4" t="n"/>
      <c r="F5" s="10" t="n">
        <v>0.29</v>
      </c>
      <c r="G5" s="7" t="n">
        <v>0.4</v>
      </c>
      <c r="H5" s="7">
        <f>(D5*F5)+0.4</f>
        <v/>
      </c>
      <c r="I5" s="7">
        <f>wholesale!I5*2</f>
        <v/>
      </c>
    </row>
    <row r="6" ht="15" customHeight="1">
      <c r="A6" s="4" t="n"/>
      <c r="B6" s="5" t="n"/>
      <c r="C6" s="5" t="inlineStr">
        <is>
          <t>(2/8)</t>
        </is>
      </c>
      <c r="D6" s="5" t="inlineStr">
        <is>
          <t>33.5 inches</t>
        </is>
      </c>
      <c r="E6" s="4" t="n"/>
      <c r="F6" s="10" t="n">
        <v>0.29</v>
      </c>
      <c r="G6" s="7" t="n">
        <v>0.4</v>
      </c>
      <c r="H6" s="7">
        <f>(D6*F6)+0.4</f>
        <v/>
      </c>
      <c r="I6" s="7">
        <f>wholesale!I6*2</f>
        <v/>
      </c>
    </row>
    <row r="7" ht="15" customHeight="1">
      <c r="A7" s="4" t="n"/>
      <c r="B7" s="5" t="n"/>
      <c r="C7" s="5" t="inlineStr">
        <is>
          <t>(2/6)</t>
        </is>
      </c>
      <c r="D7" s="5" t="inlineStr">
        <is>
          <t>31.5 inches</t>
        </is>
      </c>
      <c r="E7" s="4" t="n"/>
      <c r="F7" s="10" t="n">
        <v>0.29</v>
      </c>
      <c r="G7" s="7" t="n">
        <v>0.4</v>
      </c>
      <c r="H7" s="7">
        <f>(D7*F7)+0.4</f>
        <v/>
      </c>
      <c r="I7" s="7">
        <f>wholesale!I7*2</f>
        <v/>
      </c>
    </row>
    <row r="8" ht="15" customHeight="1">
      <c r="A8" s="12" t="n">
        <v>5.75</v>
      </c>
      <c r="B8" s="5" t="inlineStr">
        <is>
          <t>Mill</t>
        </is>
      </c>
      <c r="C8" s="5" t="n"/>
      <c r="D8" s="5" t="inlineStr">
        <is>
          <t>Per Foot</t>
        </is>
      </c>
      <c r="E8" s="4" t="inlineStr">
        <is>
          <t>S-56A</t>
        </is>
      </c>
      <c r="F8" s="10" t="n">
        <v>0.22</v>
      </c>
      <c r="G8" s="7" t="n"/>
      <c r="H8" s="7" t="n"/>
      <c r="I8" s="7">
        <f>wholesale!I8*2</f>
        <v/>
      </c>
    </row>
    <row r="9" ht="15" customHeight="1">
      <c r="A9" s="4" t="n"/>
      <c r="B9" s="5" t="n"/>
      <c r="C9" s="5" t="inlineStr">
        <is>
          <t>(3/0)</t>
        </is>
      </c>
      <c r="D9" s="5" t="inlineStr">
        <is>
          <t>37.5 inches</t>
        </is>
      </c>
      <c r="E9" s="4" t="n"/>
      <c r="F9" s="10" t="n">
        <v>0.22</v>
      </c>
      <c r="G9" s="7" t="n">
        <v>0.4</v>
      </c>
      <c r="H9" s="7">
        <f>(D9*F9)+0.4</f>
        <v/>
      </c>
      <c r="I9" s="7">
        <f>wholesale!I9*2</f>
        <v/>
      </c>
    </row>
    <row r="10" ht="15" customHeight="1">
      <c r="A10" s="4" t="n"/>
      <c r="B10" s="5" t="n"/>
      <c r="C10" s="5" t="inlineStr">
        <is>
          <t>(2/8)</t>
        </is>
      </c>
      <c r="D10" s="5" t="inlineStr">
        <is>
          <t>33.5 inches</t>
        </is>
      </c>
      <c r="E10" s="4" t="n"/>
      <c r="F10" s="10" t="n">
        <v>0.22</v>
      </c>
      <c r="G10" s="7" t="n">
        <v>0.4</v>
      </c>
      <c r="H10" s="7">
        <f>(D10*F10)+0.4</f>
        <v/>
      </c>
      <c r="I10" s="7">
        <f>wholesale!I10*2</f>
        <v/>
      </c>
    </row>
    <row r="11" ht="15" customHeight="1">
      <c r="A11" s="4" t="n"/>
      <c r="B11" s="5" t="n"/>
      <c r="C11" s="5" t="inlineStr">
        <is>
          <t>(2/6)</t>
        </is>
      </c>
      <c r="D11" s="5" t="inlineStr">
        <is>
          <t>31.5 inches</t>
        </is>
      </c>
      <c r="E11" s="4" t="n"/>
      <c r="F11" s="10" t="n">
        <v>0.22</v>
      </c>
      <c r="G11" s="7" t="n">
        <v>0.4</v>
      </c>
      <c r="H11" s="7">
        <f>(D11*F11)+0.4</f>
        <v/>
      </c>
      <c r="I11" s="7">
        <f>wholesale!I11*2</f>
        <v/>
      </c>
    </row>
    <row r="12" ht="15" customHeight="1">
      <c r="A12" s="12" t="n">
        <v>7.75</v>
      </c>
      <c r="B12" s="5" t="inlineStr">
        <is>
          <t>Bronze</t>
        </is>
      </c>
      <c r="C12" s="5" t="n"/>
      <c r="D12" s="5" t="inlineStr">
        <is>
          <t>Per Foot</t>
        </is>
      </c>
      <c r="E12" s="4" t="inlineStr">
        <is>
          <t>S-76D</t>
        </is>
      </c>
      <c r="F12" s="10" t="n">
        <v>0.38</v>
      </c>
      <c r="G12" s="7" t="n"/>
      <c r="H12" s="7">
        <f>12*F12</f>
        <v/>
      </c>
      <c r="I12" s="7">
        <f>wholesale!I12*2</f>
        <v/>
      </c>
    </row>
    <row r="13" ht="15" customHeight="1">
      <c r="A13" s="4" t="n"/>
      <c r="B13" s="5" t="n"/>
      <c r="C13" s="5" t="inlineStr">
        <is>
          <t>(3/0)</t>
        </is>
      </c>
      <c r="D13" s="5" t="inlineStr">
        <is>
          <t>37.5 inches</t>
        </is>
      </c>
      <c r="E13" s="4" t="n"/>
      <c r="F13" s="10" t="n">
        <v>0.38</v>
      </c>
      <c r="G13" s="7" t="n">
        <v>0.4</v>
      </c>
      <c r="H13" s="7">
        <f>(D13*F13)+0.4</f>
        <v/>
      </c>
      <c r="I13" s="7">
        <f>wholesale!I13*2</f>
        <v/>
      </c>
    </row>
    <row r="14" ht="15" customHeight="1">
      <c r="A14" s="4" t="n"/>
      <c r="B14" s="5" t="n"/>
      <c r="C14" s="5" t="inlineStr">
        <is>
          <t>(2/8)</t>
        </is>
      </c>
      <c r="D14" s="5" t="inlineStr">
        <is>
          <t>33.5 inches</t>
        </is>
      </c>
      <c r="E14" s="4" t="n"/>
      <c r="F14" s="10" t="n">
        <v>0.38</v>
      </c>
      <c r="G14" s="7" t="n">
        <v>0.4</v>
      </c>
      <c r="H14" s="7">
        <f>(D14*F14)+0.4</f>
        <v/>
      </c>
      <c r="I14" s="7">
        <f>wholesale!I14*2</f>
        <v/>
      </c>
    </row>
    <row r="15" ht="15" customHeight="1">
      <c r="A15" s="4" t="n"/>
      <c r="B15" s="5" t="n"/>
      <c r="C15" s="5" t="inlineStr">
        <is>
          <t>(2/6)</t>
        </is>
      </c>
      <c r="D15" s="5" t="inlineStr">
        <is>
          <t>31.5 inches</t>
        </is>
      </c>
      <c r="E15" s="4" t="n"/>
      <c r="F15" s="10" t="n">
        <v>0.38</v>
      </c>
      <c r="G15" s="7" t="n">
        <v>0.4</v>
      </c>
      <c r="H15" s="7">
        <f>(D15*F15)+0.4</f>
        <v/>
      </c>
      <c r="I15" s="7">
        <f>wholesale!I15*2</f>
        <v/>
      </c>
    </row>
    <row r="16" ht="15" customHeight="1">
      <c r="A16" s="4" t="n"/>
      <c r="B16" s="5" t="n"/>
      <c r="C16" s="5" t="n"/>
      <c r="D16" s="5" t="n"/>
      <c r="E16" s="4" t="n"/>
      <c r="F16" s="7" t="n"/>
      <c r="G16" s="7" t="n"/>
      <c r="H16" s="7" t="n"/>
    </row>
    <row r="17" ht="15" customHeight="1">
      <c r="A17" s="12" t="n">
        <v>7.75</v>
      </c>
      <c r="B17" s="5" t="inlineStr">
        <is>
          <t>Mill</t>
        </is>
      </c>
      <c r="C17" s="5" t="n"/>
      <c r="D17" s="5" t="inlineStr">
        <is>
          <t>Per Foot</t>
        </is>
      </c>
      <c r="E17" s="4" t="inlineStr">
        <is>
          <t>S-76A</t>
        </is>
      </c>
      <c r="F17" s="10" t="n">
        <v>0.28</v>
      </c>
      <c r="G17" s="7" t="n"/>
      <c r="H17" s="7" t="n"/>
      <c r="I17" s="7">
        <f>wholesale!I17*2</f>
        <v/>
      </c>
    </row>
    <row r="18" ht="15" customHeight="1">
      <c r="A18" s="4" t="n"/>
      <c r="B18" s="5" t="n"/>
      <c r="C18" s="5" t="inlineStr">
        <is>
          <t>(3/0)</t>
        </is>
      </c>
      <c r="D18" s="5" t="inlineStr">
        <is>
          <t>37.5 inches</t>
        </is>
      </c>
      <c r="E18" s="14" t="n"/>
      <c r="F18" s="10" t="n">
        <v>0.28</v>
      </c>
      <c r="G18" s="7" t="n">
        <v>0.4</v>
      </c>
      <c r="H18" s="7">
        <f>(D18*F18)+0.4</f>
        <v/>
      </c>
      <c r="I18" s="7">
        <f>wholesale!I18*2</f>
        <v/>
      </c>
    </row>
    <row r="19" ht="15" customHeight="1">
      <c r="A19" s="4" t="n"/>
      <c r="B19" s="5" t="n"/>
      <c r="C19" s="5" t="inlineStr">
        <is>
          <t>(2/8)</t>
        </is>
      </c>
      <c r="D19" s="5" t="inlineStr">
        <is>
          <t>33.5 inches</t>
        </is>
      </c>
      <c r="E19" s="14" t="n"/>
      <c r="F19" s="10" t="n">
        <v>0.28</v>
      </c>
      <c r="G19" s="7" t="n">
        <v>0.4</v>
      </c>
      <c r="H19" s="7">
        <f>(D19*F19)+0.4</f>
        <v/>
      </c>
      <c r="I19" s="7">
        <f>wholesale!I19*2</f>
        <v/>
      </c>
    </row>
    <row r="20" ht="15" customHeight="1">
      <c r="A20" s="4" t="n"/>
      <c r="B20" s="5" t="n"/>
      <c r="C20" s="5" t="inlineStr">
        <is>
          <t>(2/6)</t>
        </is>
      </c>
      <c r="D20" s="5" t="inlineStr">
        <is>
          <t>31.5 inches</t>
        </is>
      </c>
      <c r="E20" s="14" t="n"/>
      <c r="F20" s="10" t="n">
        <v>0.28</v>
      </c>
      <c r="G20" s="7" t="n">
        <v>0.4</v>
      </c>
      <c r="H20" s="7">
        <f>(D20*F20)+0.4</f>
        <v/>
      </c>
      <c r="I20" s="7">
        <f>wholesale!I20*2</f>
        <v/>
      </c>
    </row>
    <row r="21">
      <c r="A21" s="1" t="n"/>
      <c r="B21" s="22" t="n"/>
      <c r="C21" s="22" t="n"/>
      <c r="D21" s="22" t="n"/>
    </row>
    <row r="22" ht="15.75" customHeight="1">
      <c r="A22" s="21" t="inlineStr">
        <is>
          <t>Adjustable Sill, Oak with Bronze or Mill         CALL</t>
        </is>
      </c>
      <c r="E22" s="14" t="inlineStr">
        <is>
          <t>FOR PRICE</t>
        </is>
      </c>
      <c r="I22" s="7" t="inlineStr">
        <is>
          <t>AND AVAILABILITY</t>
        </is>
      </c>
    </row>
    <row r="23">
      <c r="A23" s="1" t="n"/>
      <c r="B23" s="22" t="n"/>
      <c r="C23" s="22" t="n"/>
      <c r="D23" s="22" t="n"/>
    </row>
    <row r="24" ht="15.75" customFormat="1" customHeight="1" s="23">
      <c r="A24" s="21" t="inlineStr">
        <is>
          <t>Outswing Combo Sills</t>
        </is>
      </c>
      <c r="E24" s="20" t="n"/>
      <c r="F24" s="13" t="n"/>
      <c r="G24" s="13" t="n"/>
      <c r="H24" s="13" t="n"/>
      <c r="I24" s="7" t="n"/>
    </row>
    <row r="25" ht="15" customHeight="1">
      <c r="A25" s="12" t="n">
        <v>4.875</v>
      </c>
      <c r="B25" s="5" t="inlineStr">
        <is>
          <t>Bronze</t>
        </is>
      </c>
      <c r="C25" s="5" t="n"/>
      <c r="D25" s="5" t="inlineStr">
        <is>
          <t>Per foot</t>
        </is>
      </c>
      <c r="E25" s="4" t="n"/>
      <c r="F25" s="10" t="n">
        <v>0.31</v>
      </c>
      <c r="G25" s="7" t="n">
        <v>0</v>
      </c>
      <c r="H25" s="7" t="n"/>
      <c r="I25" s="7">
        <f>wholesale!I25*2</f>
        <v/>
      </c>
    </row>
    <row r="26" ht="15" customHeight="1">
      <c r="A26" s="4" t="n"/>
      <c r="B26" s="5" t="inlineStr">
        <is>
          <t>Mill</t>
        </is>
      </c>
      <c r="C26" s="5" t="n"/>
      <c r="D26" s="5" t="inlineStr">
        <is>
          <t>Per foot</t>
        </is>
      </c>
      <c r="E26" s="4" t="n"/>
      <c r="F26" s="10" t="n">
        <v>0.21</v>
      </c>
      <c r="G26" s="7" t="n">
        <v>0</v>
      </c>
      <c r="H26" s="7" t="n"/>
      <c r="I26" s="7">
        <f>wholesale!I26*2</f>
        <v/>
      </c>
    </row>
    <row r="27" ht="15" customHeight="1">
      <c r="A27" s="12" t="n">
        <v>5.625</v>
      </c>
      <c r="B27" s="5" t="inlineStr">
        <is>
          <t>Bronze</t>
        </is>
      </c>
      <c r="C27" s="5" t="n"/>
      <c r="D27" s="5" t="inlineStr">
        <is>
          <t>Per foot</t>
        </is>
      </c>
      <c r="E27" s="4" t="n"/>
      <c r="F27" s="10" t="n">
        <v>0.32</v>
      </c>
      <c r="G27" s="7" t="n">
        <v>0</v>
      </c>
      <c r="H27" s="7" t="n"/>
      <c r="I27" s="7">
        <f>wholesale!I27*2</f>
        <v/>
      </c>
    </row>
    <row r="28" ht="15" customFormat="1" customHeight="1" s="22">
      <c r="A28" s="4" t="n"/>
      <c r="B28" s="5" t="inlineStr">
        <is>
          <t>Mill</t>
        </is>
      </c>
      <c r="C28" s="5" t="n"/>
      <c r="D28" s="5" t="inlineStr">
        <is>
          <t>Per foot</t>
        </is>
      </c>
      <c r="E28" s="4" t="n"/>
      <c r="F28" s="10" t="n">
        <v>0.22</v>
      </c>
      <c r="G28" s="7" t="n">
        <v>0</v>
      </c>
      <c r="H28" s="7" t="n"/>
      <c r="I28" s="7">
        <f>wholesale!I28*2</f>
        <v/>
      </c>
    </row>
    <row r="29" ht="15" customHeight="1">
      <c r="A29" s="4" t="n"/>
      <c r="B29" s="5" t="n"/>
      <c r="C29" s="5" t="n"/>
      <c r="D29" s="5" t="n"/>
      <c r="E29" s="4" t="n"/>
      <c r="F29" s="7" t="n"/>
      <c r="G29" s="7" t="n"/>
      <c r="H29" s="7" t="n"/>
    </row>
    <row r="30" ht="15.75" customHeight="1">
      <c r="A30" s="21" t="inlineStr">
        <is>
          <t>ADA Threshold</t>
        </is>
      </c>
      <c r="D30" s="5" t="n"/>
      <c r="E30" s="4" t="n"/>
      <c r="F30" s="7" t="n"/>
      <c r="G30" s="7" t="n"/>
      <c r="H30" s="7" t="n"/>
    </row>
    <row r="31" ht="15" customHeight="1">
      <c r="A31" s="17" t="inlineStr">
        <is>
          <t>5" X 1/2"</t>
        </is>
      </c>
      <c r="B31" s="5" t="inlineStr">
        <is>
          <t>Bronze</t>
        </is>
      </c>
      <c r="C31" s="5" t="n"/>
      <c r="D31" s="5" t="inlineStr">
        <is>
          <t>Per foot</t>
        </is>
      </c>
      <c r="E31" s="4" t="inlineStr">
        <is>
          <t>T55D</t>
        </is>
      </c>
      <c r="F31" s="10" t="n">
        <v>0.34</v>
      </c>
      <c r="G31" s="7" t="n">
        <v>0</v>
      </c>
      <c r="H31" s="7" t="n"/>
      <c r="I31" s="7">
        <f>wholesale!I31*2</f>
        <v/>
      </c>
    </row>
    <row r="32" ht="15" customHeight="1">
      <c r="A32" s="17" t="inlineStr">
        <is>
          <t>6" X 1/2"</t>
        </is>
      </c>
      <c r="B32" s="5" t="inlineStr">
        <is>
          <t>Bronze</t>
        </is>
      </c>
      <c r="C32" s="5" t="n"/>
      <c r="D32" s="5" t="inlineStr">
        <is>
          <t>Per foot</t>
        </is>
      </c>
      <c r="E32" s="4" t="inlineStr">
        <is>
          <t>T65D</t>
        </is>
      </c>
      <c r="F32" s="10" t="n">
        <v>0.43</v>
      </c>
      <c r="G32" s="7" t="n">
        <v>0</v>
      </c>
      <c r="H32" s="7" t="n"/>
      <c r="I32" s="7">
        <f>wholesale!I32*2</f>
        <v/>
      </c>
    </row>
    <row r="33" ht="15" customHeight="1">
      <c r="A33" s="17" t="inlineStr">
        <is>
          <t>7" X 1/2"</t>
        </is>
      </c>
      <c r="B33" s="5" t="inlineStr">
        <is>
          <t>Bronze</t>
        </is>
      </c>
      <c r="C33" s="5" t="n"/>
      <c r="D33" s="5" t="inlineStr">
        <is>
          <t>Per foot</t>
        </is>
      </c>
      <c r="E33" s="4" t="inlineStr">
        <is>
          <t>T75D</t>
        </is>
      </c>
      <c r="F33" s="10" t="n">
        <v>0.57</v>
      </c>
      <c r="G33" s="7" t="n">
        <v>0</v>
      </c>
      <c r="H33" s="7" t="n"/>
      <c r="I33" s="7">
        <f>wholesale!I33*2</f>
        <v/>
      </c>
    </row>
    <row r="34" ht="15" customHeight="1">
      <c r="A34" s="17" t="inlineStr">
        <is>
          <t>8" X 1/2"</t>
        </is>
      </c>
      <c r="B34" s="5" t="inlineStr">
        <is>
          <t>Bronze</t>
        </is>
      </c>
      <c r="C34" s="5" t="n"/>
      <c r="D34" s="5" t="inlineStr">
        <is>
          <t>Per foot</t>
        </is>
      </c>
      <c r="E34" s="4" t="inlineStr">
        <is>
          <t>T85D</t>
        </is>
      </c>
      <c r="F34" s="10" t="n">
        <v>0.65</v>
      </c>
      <c r="G34" s="7" t="n">
        <v>0</v>
      </c>
      <c r="H34" s="7" t="n"/>
      <c r="I34" s="7">
        <f>wholesale!I34*2</f>
        <v/>
      </c>
    </row>
    <row r="35" ht="15" customHeight="1">
      <c r="A35" s="17" t="inlineStr">
        <is>
          <t>5" X 1/2"</t>
        </is>
      </c>
      <c r="B35" s="5" t="inlineStr">
        <is>
          <t>Mill</t>
        </is>
      </c>
      <c r="C35" s="5" t="n"/>
      <c r="D35" s="5" t="inlineStr">
        <is>
          <t>Per foot</t>
        </is>
      </c>
      <c r="E35" s="4" t="inlineStr">
        <is>
          <t>T55A</t>
        </is>
      </c>
      <c r="F35" s="10" t="n">
        <v>0.23</v>
      </c>
      <c r="G35" s="7" t="n">
        <v>0</v>
      </c>
      <c r="H35" s="7" t="n"/>
      <c r="I35" s="7">
        <f>wholesale!I35*2</f>
        <v/>
      </c>
    </row>
    <row r="36" ht="15" customHeight="1">
      <c r="A36" s="17" t="inlineStr">
        <is>
          <t>6" X 1/2"</t>
        </is>
      </c>
      <c r="B36" s="5" t="inlineStr">
        <is>
          <t>Mill</t>
        </is>
      </c>
      <c r="C36" s="5" t="n"/>
      <c r="D36" s="5" t="inlineStr">
        <is>
          <t>Per foot</t>
        </is>
      </c>
      <c r="E36" s="4" t="inlineStr">
        <is>
          <t>T65A</t>
        </is>
      </c>
      <c r="F36" s="10" t="n">
        <v>0.32</v>
      </c>
      <c r="G36" s="7" t="n">
        <v>0</v>
      </c>
      <c r="H36" s="7" t="n"/>
      <c r="I36" s="7">
        <f>wholesale!I36*2</f>
        <v/>
      </c>
    </row>
    <row r="37" ht="15" customHeight="1">
      <c r="A37" s="17" t="inlineStr">
        <is>
          <t>7" X 1/2"</t>
        </is>
      </c>
      <c r="B37" s="5" t="inlineStr">
        <is>
          <t>Mill</t>
        </is>
      </c>
      <c r="C37" s="5" t="n"/>
      <c r="D37" s="5" t="inlineStr">
        <is>
          <t>Per foot</t>
        </is>
      </c>
      <c r="E37" s="4" t="inlineStr">
        <is>
          <t>T75A</t>
        </is>
      </c>
      <c r="F37" s="10" t="n">
        <v>0.44</v>
      </c>
      <c r="G37" s="7" t="n">
        <v>0</v>
      </c>
      <c r="H37" s="7" t="n"/>
      <c r="I37" s="7">
        <f>wholesale!I37*2</f>
        <v/>
      </c>
    </row>
    <row r="38" ht="15" customHeight="1">
      <c r="A38" s="17" t="inlineStr">
        <is>
          <t>8" X 1/2"</t>
        </is>
      </c>
      <c r="B38" s="5" t="inlineStr">
        <is>
          <t>Mill</t>
        </is>
      </c>
      <c r="C38" s="5" t="n"/>
      <c r="D38" s="5" t="inlineStr">
        <is>
          <t>Per foot</t>
        </is>
      </c>
      <c r="E38" s="4" t="inlineStr">
        <is>
          <t>T85A</t>
        </is>
      </c>
      <c r="F38" s="10" t="n">
        <v>0.51</v>
      </c>
      <c r="G38" s="7" t="n">
        <v>0</v>
      </c>
      <c r="H38" s="7" t="n"/>
      <c r="I38" s="7">
        <f>wholesale!I38*2</f>
        <v/>
      </c>
    </row>
    <row r="39">
      <c r="A39" s="23" t="n"/>
      <c r="E39" s="23" t="n"/>
      <c r="F39" s="23" t="n"/>
      <c r="G39" s="23" t="n"/>
      <c r="H39" s="23" t="n"/>
    </row>
    <row r="40" ht="15.75" customHeight="1">
      <c r="A40" s="21" t="inlineStr">
        <is>
          <t>Sill Nosing</t>
        </is>
      </c>
      <c r="C40" s="5" t="n"/>
      <c r="D40" s="5" t="n"/>
      <c r="E40" s="4" t="n"/>
      <c r="F40" s="6" t="n"/>
      <c r="G40" s="6" t="n"/>
      <c r="H40" s="6" t="n"/>
    </row>
    <row r="41" ht="15" customHeight="1">
      <c r="A41" s="22" t="inlineStr">
        <is>
          <t>4-1/2" x 1-1/2"</t>
        </is>
      </c>
      <c r="B41" s="5" t="inlineStr">
        <is>
          <t>Bronze</t>
        </is>
      </c>
      <c r="C41" s="5" t="n"/>
      <c r="D41" s="5" t="inlineStr">
        <is>
          <t>Per foot</t>
        </is>
      </c>
      <c r="E41" s="4" t="inlineStr">
        <is>
          <t>SN45D</t>
        </is>
      </c>
      <c r="F41" s="10" t="n">
        <v>0.18</v>
      </c>
      <c r="G41" s="7" t="n">
        <v>0</v>
      </c>
      <c r="H41" s="7" t="n"/>
      <c r="I41" s="7">
        <f>wholesale!I41*2</f>
        <v/>
      </c>
    </row>
    <row r="42" ht="15" customFormat="1" customHeight="1" s="22">
      <c r="A42" s="22" t="inlineStr">
        <is>
          <t>4-1/2" x 1-1/2"</t>
        </is>
      </c>
      <c r="B42" s="5" t="inlineStr">
        <is>
          <t>Mill</t>
        </is>
      </c>
      <c r="C42" s="5" t="n"/>
      <c r="D42" s="5" t="inlineStr">
        <is>
          <t>Per foot</t>
        </is>
      </c>
      <c r="E42" s="4" t="inlineStr">
        <is>
          <t>SN45A</t>
        </is>
      </c>
      <c r="F42" s="10" t="n">
        <v>0.12</v>
      </c>
      <c r="G42" s="7" t="n">
        <v>0</v>
      </c>
      <c r="H42" s="7" t="n"/>
      <c r="I42" s="7">
        <f>wholesale!I42*2</f>
        <v/>
      </c>
    </row>
    <row r="43" customFormat="1" s="22">
      <c r="A43" s="20" t="n"/>
      <c r="B43" s="23" t="n"/>
      <c r="C43" s="23" t="n"/>
      <c r="D43" s="23" t="n"/>
      <c r="E43" s="20" t="n"/>
      <c r="F43" s="13" t="n"/>
      <c r="G43" s="13" t="n"/>
      <c r="H43" s="13" t="n"/>
      <c r="I43" s="7" t="n"/>
    </row>
    <row r="44" ht="15.75" customFormat="1" customHeight="1" s="22">
      <c r="A44" s="21" t="inlineStr">
        <is>
          <t>Riser</t>
        </is>
      </c>
      <c r="B44" s="23" t="n"/>
      <c r="C44" s="5" t="n"/>
      <c r="D44" s="5" t="n"/>
      <c r="E44" s="4" t="n"/>
      <c r="F44" s="7" t="n"/>
      <c r="G44" s="7" t="n">
        <v>0</v>
      </c>
      <c r="H44" s="7" t="n"/>
      <c r="I44" s="7" t="n"/>
    </row>
    <row r="45" ht="15" customFormat="1" customHeight="1" s="22">
      <c r="A45" s="5" t="inlineStr">
        <is>
          <t>9/16 sill</t>
        </is>
      </c>
      <c r="B45" s="5" t="inlineStr">
        <is>
          <t>Bronze</t>
        </is>
      </c>
      <c r="C45" s="5" t="n"/>
      <c r="D45" s="5" t="inlineStr">
        <is>
          <t>Per foot</t>
        </is>
      </c>
      <c r="E45" s="4" t="inlineStr">
        <is>
          <t>SR-1D</t>
        </is>
      </c>
      <c r="F45" s="10" t="n">
        <v>0.13</v>
      </c>
      <c r="G45" s="7" t="n">
        <v>0</v>
      </c>
      <c r="H45" s="7" t="n"/>
      <c r="I45" s="7">
        <f>wholesale!I45*2</f>
        <v/>
      </c>
    </row>
    <row r="46" ht="15" customFormat="1" customHeight="1" s="22">
      <c r="A46" s="5" t="inlineStr">
        <is>
          <t>9/16 sill</t>
        </is>
      </c>
      <c r="B46" s="5" t="inlineStr">
        <is>
          <t>Mill</t>
        </is>
      </c>
      <c r="C46" s="5" t="n"/>
      <c r="D46" s="5" t="inlineStr">
        <is>
          <t>Per foot</t>
        </is>
      </c>
      <c r="E46" s="4" t="inlineStr">
        <is>
          <t>SR-1A</t>
        </is>
      </c>
      <c r="F46" s="10" t="n">
        <v>0.1</v>
      </c>
      <c r="G46" s="7" t="n">
        <v>0</v>
      </c>
      <c r="H46" s="7" t="n"/>
      <c r="I46" s="7">
        <f>wholesale!I46*2</f>
        <v/>
      </c>
    </row>
    <row r="47" ht="12.75" customHeight="1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</row>
    <row r="48" ht="12.75" customHeight="1">
      <c r="A48" s="22" t="n"/>
      <c r="B48" s="22" t="n"/>
      <c r="C48" s="22" t="n"/>
      <c r="D48" s="22" t="inlineStr">
        <is>
          <t>Page 13</t>
        </is>
      </c>
      <c r="E48" s="22" t="n"/>
      <c r="F48" s="22" t="n"/>
      <c r="G48" s="22" t="n"/>
      <c r="H48" s="22" t="n"/>
      <c r="I48" s="22" t="n"/>
    </row>
    <row r="49" ht="13.15" customHeight="1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</row>
    <row r="50" ht="13.15" customHeight="1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</row>
  </sheetData>
  <mergeCells count="5">
    <mergeCell ref="A1:D1"/>
    <mergeCell ref="A40:B40"/>
    <mergeCell ref="A22:D22"/>
    <mergeCell ref="A24:D24"/>
    <mergeCell ref="A30:C30"/>
  </mergeCells>
  <conditionalFormatting sqref="A1:I46">
    <cfRule type="expression" priority="1" dxfId="0">
      <formula>MOD(ROW(),2)=1</formula>
    </cfRule>
  </conditionalFormatting>
  <printOptions horizontalCentered="1"/>
  <pageMargins left="0.75" right="0.75" top="1.135166666666667" bottom="0.5" header="0.5" footer="0.5"/>
  <pageSetup orientation="portrait" scale="94"/>
  <headerFooter alignWithMargins="0">
    <oddHeader>&amp;L&amp;"Arial,Bold"&amp;12 A BETTER DOOR_x000a_MATERIALS PRICE LIST&amp;C&amp;"Arial,Bold"&amp;12 MATERIALS_x000a_ALUMINUM SILLS_x000a_AND THRESHOLDS_x000a__x000a_  &amp;R&amp;"Arial,Bold"&amp;12 RETAIL PRICES_x000a_EFFECTIVE  August 15, 2020</oddHeader>
    <oddFooter>&amp;R&amp;D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Rockafellow</dc:creator>
  <dc:title>Materials Price List</dc:title>
  <dcterms:created xsi:type="dcterms:W3CDTF">2004-06-12T04:06:39Z</dcterms:created>
  <dcterms:modified xsi:type="dcterms:W3CDTF">2020-07-28T20:30:57Z</dcterms:modified>
  <cp:lastModifiedBy>Margo</cp:lastModifiedBy>
  <cp:lastPrinted>2020-07-28T20:30:28Z</cp:lastPrinted>
</cp:coreProperties>
</file>