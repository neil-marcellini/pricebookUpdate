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1" firstSheet="0" activeTab="1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'wholesale'!$A$1:$H$52</definedName>
    <definedName name="_xlnm.Print_Area" localSheetId="1">'retail'!$A$1:$G$52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b val="1"/>
      <i val="1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Helvetica"/>
      <family val="2"/>
      <color rgb="FF454545"/>
      <sz val="12"/>
    </font>
    <font>
      <name val="Helvetica Neue"/>
      <family val="2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0" fontId="0" fillId="0" borderId="1" pivotButton="0" quotePrefix="0" xfId="0"/>
    <xf numFmtId="0" fontId="6" fillId="0" borderId="0" applyAlignment="1" pivotButton="0" quotePrefix="0" xfId="0">
      <alignment horizontal="center"/>
    </xf>
    <xf numFmtId="4" fontId="6" fillId="0" borderId="0" applyAlignment="1" pivotButton="0" quotePrefix="0" xfId="0">
      <alignment horizontal="center"/>
    </xf>
    <xf numFmtId="4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</cellXfs>
  <cellStyles count="1">
    <cellStyle name="Normal" xfId="0" builtinId="0"/>
  </cellStyles>
  <dxfs count="6"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gray125"/>
      </fill>
    </dxf>
    <dxf>
      <fill>
        <patternFill patternType="gray125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K53"/>
  <sheetViews>
    <sheetView view="pageLayout" zoomScale="130" zoomScaleNormal="130" zoomScalePageLayoutView="130" workbookViewId="0">
      <selection activeCell="H32" sqref="A3:H32"/>
    </sheetView>
  </sheetViews>
  <sheetFormatPr baseColWidth="8" defaultColWidth="8.77734375" defaultRowHeight="13.2"/>
  <cols>
    <col width="16.6640625" customWidth="1" style="6" min="1" max="1"/>
    <col width="5.77734375" customWidth="1" style="6" min="2" max="2"/>
    <col width="18.44140625" customWidth="1" style="6" min="3" max="3"/>
    <col width="7" customWidth="1" style="6" min="4" max="4"/>
    <col width="19.6640625" customWidth="1" style="6" min="5" max="5"/>
    <col width="12.44140625" customWidth="1" style="21" min="6" max="6"/>
    <col hidden="1" width="12.44140625" customWidth="1" style="22" min="7" max="7"/>
    <col width="11.109375" customWidth="1" style="23" min="8" max="8"/>
    <col hidden="1" width="10.77734375" customWidth="1" style="22" min="9" max="9"/>
    <col width="8.77734375" customWidth="1" style="14" min="10" max="10"/>
    <col width="8.77734375" customWidth="1" style="6" min="11" max="11"/>
    <col width="8.77734375" customWidth="1" style="6" min="12" max="16384"/>
  </cols>
  <sheetData>
    <row r="1">
      <c r="A1" s="2" t="n"/>
      <c r="B1" s="2" t="n"/>
      <c r="C1" s="2" t="n"/>
      <c r="D1" s="2" t="n"/>
      <c r="E1" s="2" t="n"/>
      <c r="F1" s="11" t="inlineStr">
        <is>
          <t>Single</t>
        </is>
      </c>
      <c r="G1" s="12" t="n"/>
      <c r="H1" s="13" t="inlineStr">
        <is>
          <t>Double</t>
        </is>
      </c>
      <c r="I1" s="12" t="n"/>
    </row>
    <row r="2">
      <c r="A2" s="2" t="n"/>
      <c r="B2" s="2" t="n"/>
      <c r="C2" s="2" t="n"/>
      <c r="D2" s="2" t="n"/>
      <c r="E2" s="2" t="n"/>
      <c r="F2" s="11" t="inlineStr">
        <is>
          <t>Door</t>
        </is>
      </c>
      <c r="G2" s="12" t="n"/>
      <c r="H2" s="13" t="inlineStr">
        <is>
          <t>Doors</t>
        </is>
      </c>
      <c r="I2" s="12" t="n"/>
    </row>
    <row r="3">
      <c r="A3" s="7" t="inlineStr">
        <is>
          <t>Double Door Options</t>
        </is>
      </c>
      <c r="F3" s="3" t="n"/>
      <c r="G3" s="15" t="n"/>
      <c r="H3" s="4" t="n"/>
      <c r="I3" s="15" t="n"/>
    </row>
    <row r="4">
      <c r="A4" s="2" t="n"/>
      <c r="F4" s="3" t="n"/>
      <c r="G4" s="15" t="n"/>
      <c r="H4" s="4" t="n"/>
      <c r="I4" s="15" t="n"/>
    </row>
    <row r="5">
      <c r="A5" s="1" t="inlineStr">
        <is>
          <t>Mortize &amp; Install 6" Flushbolt, each, US3,5,10B,15, 15A, 26,26D</t>
        </is>
      </c>
      <c r="B5" s="2" t="n"/>
      <c r="C5" s="2" t="n"/>
      <c r="D5" s="2" t="n"/>
      <c r="E5" s="2" t="n"/>
      <c r="F5" s="3" t="n"/>
      <c r="G5" s="15" t="n"/>
      <c r="H5" s="4" t="n">
        <v>41</v>
      </c>
      <c r="I5" s="16" t="n">
        <v>27</v>
      </c>
    </row>
    <row r="6">
      <c r="A6" s="2" t="inlineStr">
        <is>
          <t>Mortize &amp; Install 12" Extension Flushbolt-each, US3,4,5,10B,15,15A,26,26D</t>
        </is>
      </c>
      <c r="B6" s="2" t="n"/>
      <c r="C6" s="2" t="n"/>
      <c r="D6" s="2" t="n"/>
      <c r="E6" s="2" t="n"/>
      <c r="F6" s="4" t="n"/>
      <c r="G6" s="16" t="n"/>
      <c r="H6" s="4" t="n">
        <v>88</v>
      </c>
      <c r="I6" s="16" t="n">
        <v>73.5</v>
      </c>
      <c r="J6" s="17" t="n"/>
    </row>
    <row r="7">
      <c r="A7" s="1" t="inlineStr">
        <is>
          <t>Install 1 3/8" FJ Pine T-Astragal - 6'8" &amp; 7' Doors</t>
        </is>
      </c>
      <c r="B7" s="2" t="n"/>
      <c r="C7" s="2" t="n"/>
      <c r="D7" s="2" t="n"/>
      <c r="E7" s="2" t="n"/>
      <c r="F7" s="4" t="n"/>
      <c r="G7" s="16" t="n"/>
      <c r="H7" s="4" t="n">
        <v>39</v>
      </c>
      <c r="I7" s="16" t="n">
        <v>23</v>
      </c>
    </row>
    <row r="8">
      <c r="A8" s="1" t="inlineStr">
        <is>
          <t>Install 1 3/8" Fir T-Astragal-6'8" &amp; 7' Doors</t>
        </is>
      </c>
      <c r="B8" s="2" t="n"/>
      <c r="C8" s="2" t="n"/>
      <c r="D8" s="5" t="n"/>
      <c r="E8" s="2" t="n"/>
      <c r="F8" s="4" t="n"/>
      <c r="G8" s="16" t="n"/>
      <c r="H8" s="4" t="n">
        <v>56.5</v>
      </c>
      <c r="I8" s="16" t="n">
        <v>34</v>
      </c>
    </row>
    <row r="9">
      <c r="A9" s="1" t="inlineStr">
        <is>
          <t>Install 1 3/8" Oak T-Astragal - 6'8" &amp; 7' Doors</t>
        </is>
      </c>
      <c r="B9" s="2" t="n"/>
      <c r="C9" s="2" t="n"/>
      <c r="D9" s="5" t="n"/>
      <c r="E9" s="2" t="n"/>
      <c r="F9" s="4" t="n"/>
      <c r="G9" s="16" t="n"/>
      <c r="H9" s="4" t="n">
        <v>74.5</v>
      </c>
      <c r="I9" s="16" t="n">
        <v>61.5</v>
      </c>
    </row>
    <row r="10">
      <c r="A10" s="1" t="inlineStr">
        <is>
          <t>Install 1 3/8" FJ Pine T-Astragal - 8' Doors</t>
        </is>
      </c>
      <c r="B10" s="2" t="n"/>
      <c r="C10" s="2" t="n"/>
      <c r="D10" s="5" t="n"/>
      <c r="E10" s="2" t="n"/>
      <c r="F10" s="4" t="n"/>
      <c r="G10" s="16" t="n"/>
      <c r="H10" s="4" t="n">
        <v>41</v>
      </c>
      <c r="I10" s="16" t="n">
        <v>34</v>
      </c>
    </row>
    <row r="11">
      <c r="A11" s="1" t="inlineStr">
        <is>
          <t>Install 1 3/8" Fir T-Astragal-8' Doors</t>
        </is>
      </c>
      <c r="B11" s="2" t="n"/>
      <c r="C11" s="2" t="n"/>
      <c r="D11" s="5" t="n"/>
      <c r="E11" s="2" t="n"/>
      <c r="F11" s="4" t="n"/>
      <c r="G11" s="16" t="n"/>
      <c r="H11" s="4" t="n">
        <v>63.5</v>
      </c>
      <c r="I11" s="16" t="n">
        <v>47.5</v>
      </c>
    </row>
    <row r="12">
      <c r="A12" s="1" t="inlineStr">
        <is>
          <t>Install 1 3/8" Oak T-Astragal - 8' Doors</t>
        </is>
      </c>
      <c r="B12" s="2" t="n"/>
      <c r="C12" s="2" t="n"/>
      <c r="D12" s="5" t="n"/>
      <c r="E12" s="2" t="n"/>
      <c r="F12" s="4" t="n"/>
      <c r="G12" s="16" t="n"/>
      <c r="H12" s="4" t="n">
        <v>80.5</v>
      </c>
      <c r="I12" s="16" t="n">
        <v>67.5</v>
      </c>
    </row>
    <row r="13" ht="16.05" customHeight="1" s="6">
      <c r="A13" s="1" t="inlineStr">
        <is>
          <t xml:space="preserve">Install 1 3/4" Fir T-Aastragal - 6/8, 7/0 &amp; 8/0 Doors  </t>
        </is>
      </c>
      <c r="B13" s="2" t="n"/>
      <c r="C13" s="2" t="n"/>
      <c r="D13" s="5" t="n"/>
      <c r="E13" s="2" t="n"/>
      <c r="F13" s="3" t="n"/>
      <c r="G13" s="15" t="n"/>
      <c r="H13" s="4" t="n">
        <v>73.5</v>
      </c>
      <c r="I13" s="16" t="n">
        <v>61.5</v>
      </c>
      <c r="K13" s="18" t="n"/>
    </row>
    <row r="14">
      <c r="F14" s="3" t="n"/>
      <c r="G14" s="15" t="n"/>
      <c r="H14" s="4" t="n"/>
      <c r="I14" s="15" t="n"/>
    </row>
    <row r="15">
      <c r="A15" s="7" t="inlineStr">
        <is>
          <t>Misc. Options</t>
        </is>
      </c>
      <c r="F15" s="3" t="n"/>
      <c r="G15" s="15" t="n"/>
      <c r="H15" s="4" t="n"/>
      <c r="I15" s="15" t="n"/>
    </row>
    <row r="16">
      <c r="F16" s="3" t="n"/>
      <c r="G16" s="15" t="n"/>
      <c r="H16" s="4" t="n"/>
      <c r="I16" s="15" t="n"/>
    </row>
    <row r="17" ht="16.05" customHeight="1" s="6">
      <c r="A17" s="1" t="inlineStr">
        <is>
          <t>Install Primed FJ Pine Jambs on all 4 Sides</t>
        </is>
      </c>
      <c r="B17" s="2" t="n"/>
      <c r="C17" s="2" t="n"/>
      <c r="D17" s="2" t="n"/>
      <c r="E17" s="2" t="n"/>
      <c r="F17" s="4" t="n">
        <v>36</v>
      </c>
      <c r="G17" s="16" t="n">
        <v>29.5</v>
      </c>
      <c r="H17" s="4" t="n">
        <v>71</v>
      </c>
      <c r="I17" s="16" t="n"/>
      <c r="K17" s="19" t="n"/>
    </row>
    <row r="18">
      <c r="A18" s="2" t="inlineStr">
        <is>
          <t>Cut Out &amp; Install Lite or Louvre Vent Supplied by Customer</t>
        </is>
      </c>
      <c r="B18" s="2" t="n"/>
      <c r="C18" s="2" t="n"/>
      <c r="D18" s="2" t="n"/>
      <c r="E18" s="2" t="n"/>
      <c r="F18" s="4" t="n">
        <v>52</v>
      </c>
      <c r="G18" s="16" t="n">
        <v>31</v>
      </c>
      <c r="H18" s="4" t="n"/>
      <c r="I18" s="16" t="n"/>
    </row>
    <row r="19">
      <c r="A19" s="1" t="inlineStr">
        <is>
          <t>Cut Out Only for Pet Door (Supplied by Customer)</t>
        </is>
      </c>
      <c r="B19" s="2" t="n"/>
      <c r="C19" s="2" t="n"/>
      <c r="D19" s="2" t="n"/>
      <c r="E19" s="2" t="n"/>
      <c r="F19" s="4" t="n">
        <v>52</v>
      </c>
      <c r="G19" s="16" t="n">
        <v>31</v>
      </c>
      <c r="H19" s="4" t="n"/>
      <c r="I19" s="16" t="n"/>
    </row>
    <row r="20">
      <c r="A20" s="2" t="inlineStr">
        <is>
          <t>Cut Out and Install Pet Door (Supplied by Customer)</t>
        </is>
      </c>
      <c r="B20" s="2" t="n"/>
      <c r="C20" s="2" t="n"/>
      <c r="D20" s="2" t="n"/>
      <c r="E20" s="2" t="n"/>
      <c r="F20" s="4" t="n">
        <v>74.5</v>
      </c>
      <c r="G20" s="16" t="n">
        <v>61.5</v>
      </c>
      <c r="H20" s="4" t="n"/>
      <c r="I20" s="16" t="n"/>
    </row>
    <row r="21">
      <c r="A21" s="2" t="inlineStr">
        <is>
          <t>Cut Casings-per set</t>
        </is>
      </c>
      <c r="B21" s="2" t="n"/>
      <c r="C21" s="2" t="n"/>
      <c r="D21" s="2" t="n"/>
      <c r="E21" s="2" t="n"/>
      <c r="F21" s="4" t="n">
        <v>23</v>
      </c>
      <c r="G21" s="16" t="n">
        <v>19</v>
      </c>
      <c r="H21" s="4" t="n">
        <v>23</v>
      </c>
      <c r="I21" s="16" t="n">
        <v>19</v>
      </c>
    </row>
    <row r="22">
      <c r="A22" s="2" t="n"/>
      <c r="B22" s="2" t="n"/>
      <c r="C22" s="2" t="n"/>
      <c r="D22" s="2" t="n"/>
      <c r="E22" s="2" t="n"/>
      <c r="F22" s="4" t="n"/>
      <c r="G22" s="16" t="n"/>
      <c r="H22" s="4" t="n"/>
      <c r="I22" s="16" t="n"/>
    </row>
    <row r="23">
      <c r="A23" s="1" t="inlineStr">
        <is>
          <t>Dutch Doors, added cost to prehang, (Dutch Door bolt not included)  Minimum</t>
        </is>
      </c>
      <c r="B23" s="2" t="n"/>
      <c r="C23" s="2" t="n"/>
      <c r="D23" s="2" t="n"/>
      <c r="E23" s="2" t="n"/>
      <c r="F23" s="4" t="n">
        <v>96.5</v>
      </c>
      <c r="G23" s="16" t="n">
        <v>61.5</v>
      </c>
      <c r="H23" s="4" t="n"/>
      <c r="I23" s="16" t="n"/>
    </row>
    <row r="24">
      <c r="A24" s="2" t="inlineStr">
        <is>
          <t>Install Roller Catch</t>
        </is>
      </c>
      <c r="B24" s="2" t="n"/>
      <c r="C24" s="2" t="n"/>
      <c r="D24" s="2" t="n"/>
      <c r="E24" s="2" t="n"/>
      <c r="F24" s="4" t="n">
        <v>39.5</v>
      </c>
      <c r="G24" s="16" t="n">
        <v>29.5</v>
      </c>
      <c r="H24" s="4" t="inlineStr">
        <is>
          <t>n/c</t>
        </is>
      </c>
      <c r="I24" s="16" t="n"/>
      <c r="J24" s="17" t="n"/>
      <c r="K24" s="20" t="n"/>
    </row>
    <row r="25">
      <c r="A25" s="1" t="inlineStr">
        <is>
          <t>Prehang 4-panel hinge fold doors equals twice double door prices</t>
        </is>
      </c>
      <c r="F25" s="3" t="inlineStr">
        <is>
          <t>See Prehang</t>
        </is>
      </c>
      <c r="G25" s="15" t="n"/>
      <c r="H25" s="4" t="inlineStr">
        <is>
          <t>Prices</t>
        </is>
      </c>
      <c r="I25" s="15" t="n"/>
    </row>
    <row r="26">
      <c r="F26" s="3" t="n"/>
      <c r="G26" s="15" t="n"/>
      <c r="H26" s="4" t="n"/>
      <c r="I26" s="15" t="n"/>
    </row>
    <row r="27">
      <c r="A27" s="7" t="inlineStr">
        <is>
          <t>Hinge Finishes</t>
        </is>
      </c>
      <c r="F27" s="8" t="n"/>
      <c r="G27" s="16" t="n"/>
      <c r="H27" s="8" t="n"/>
      <c r="I27" s="15" t="n"/>
    </row>
    <row r="28">
      <c r="F28" s="4" t="inlineStr">
        <is>
          <t xml:space="preserve"> </t>
        </is>
      </c>
      <c r="G28" s="16" t="n"/>
      <c r="H28" s="8" t="n"/>
      <c r="I28" s="15" t="n"/>
    </row>
    <row r="29">
      <c r="A29" s="2" t="inlineStr">
        <is>
          <t>Bright Brass</t>
        </is>
      </c>
      <c r="B29" s="2" t="inlineStr">
        <is>
          <t>US3</t>
        </is>
      </c>
      <c r="C29" s="2" t="inlineStr">
        <is>
          <t>Oil Rubbed Bronze</t>
        </is>
      </c>
      <c r="D29" s="2" t="inlineStr">
        <is>
          <t>US10B</t>
        </is>
      </c>
      <c r="E29" s="1" t="inlineStr">
        <is>
          <t>Polished Chrome</t>
        </is>
      </c>
      <c r="F29" s="10" t="inlineStr">
        <is>
          <t>US26</t>
        </is>
      </c>
      <c r="G29" s="12" t="n"/>
      <c r="H29" s="8" t="n"/>
      <c r="I29" s="15" t="n"/>
    </row>
    <row r="30">
      <c r="A30" s="2" t="inlineStr">
        <is>
          <t>Satin (Dull) Brass</t>
        </is>
      </c>
      <c r="B30" s="2" t="inlineStr">
        <is>
          <t>US4</t>
        </is>
      </c>
      <c r="C30" s="2" t="inlineStr">
        <is>
          <t>Satin Nickel</t>
        </is>
      </c>
      <c r="D30" s="2" t="inlineStr">
        <is>
          <t>US15</t>
        </is>
      </c>
      <c r="E30" s="2" t="inlineStr">
        <is>
          <t>Satin Chrome</t>
        </is>
      </c>
      <c r="F30" s="10" t="inlineStr">
        <is>
          <t>US26D</t>
        </is>
      </c>
      <c r="G30" s="12" t="n"/>
      <c r="H30" s="8" t="n"/>
      <c r="I30" s="15" t="n"/>
    </row>
    <row r="31">
      <c r="A31" s="2" t="inlineStr">
        <is>
          <t>Antique Brass</t>
        </is>
      </c>
      <c r="B31" s="2" t="inlineStr">
        <is>
          <t>US5</t>
        </is>
      </c>
      <c r="C31" s="2" t="inlineStr">
        <is>
          <t>Antique Nickel</t>
        </is>
      </c>
      <c r="D31" s="2" t="inlineStr">
        <is>
          <t>US15A</t>
        </is>
      </c>
      <c r="E31" s="2" t="inlineStr">
        <is>
          <t>Stainless Steel,Satin</t>
        </is>
      </c>
      <c r="F31" s="10" t="inlineStr">
        <is>
          <t>US32D</t>
        </is>
      </c>
      <c r="G31" s="12" t="n"/>
      <c r="H31" s="8" t="n"/>
      <c r="I31" s="15" t="n"/>
    </row>
    <row r="32">
      <c r="A32" s="1" t="inlineStr">
        <is>
          <t>Black                       L1</t>
        </is>
      </c>
      <c r="F32" s="9" t="n"/>
      <c r="G32" s="15" t="n"/>
      <c r="H32" s="8" t="n"/>
      <c r="I32" s="15" t="n"/>
    </row>
    <row r="33">
      <c r="D33" s="1" t="n"/>
      <c r="F33" s="9" t="n"/>
      <c r="G33" s="15" t="n"/>
      <c r="H33" s="8" t="n"/>
      <c r="I33" s="15" t="n"/>
    </row>
    <row r="34">
      <c r="F34" s="9" t="n"/>
      <c r="G34" s="15" t="n"/>
      <c r="H34" s="8" t="n"/>
      <c r="I34" s="15" t="n"/>
    </row>
    <row r="35">
      <c r="F35" s="9" t="n"/>
      <c r="G35" s="15" t="n"/>
      <c r="H35" s="8" t="n"/>
      <c r="I35" s="15" t="n"/>
    </row>
    <row r="36">
      <c r="F36" s="9" t="n"/>
      <c r="G36" s="15" t="n"/>
      <c r="H36" s="8" t="n"/>
      <c r="I36" s="15" t="n"/>
    </row>
    <row r="37">
      <c r="F37" s="9" t="n"/>
      <c r="G37" s="15" t="n"/>
      <c r="H37" s="8" t="n"/>
      <c r="I37" s="15" t="n"/>
    </row>
    <row r="38">
      <c r="F38" s="9" t="n"/>
      <c r="G38" s="15" t="n"/>
      <c r="H38" s="8" t="n"/>
      <c r="I38" s="15" t="n"/>
    </row>
    <row r="39">
      <c r="F39" s="9" t="n"/>
      <c r="G39" s="15" t="n"/>
      <c r="H39" s="8" t="n"/>
      <c r="I39" s="15" t="n"/>
    </row>
    <row r="40">
      <c r="F40" s="9" t="n"/>
      <c r="G40" s="15" t="n"/>
      <c r="H40" s="8" t="n"/>
      <c r="I40" s="15" t="n"/>
    </row>
    <row r="41">
      <c r="F41" s="9" t="n"/>
      <c r="G41" s="15" t="n"/>
      <c r="H41" s="8" t="n"/>
      <c r="I41" s="15" t="n"/>
    </row>
    <row r="42">
      <c r="F42" s="9" t="n"/>
      <c r="G42" s="15" t="n"/>
      <c r="H42" s="8" t="n"/>
      <c r="I42" s="15" t="n"/>
    </row>
    <row r="43">
      <c r="F43" s="9" t="n"/>
      <c r="G43" s="15" t="n"/>
      <c r="H43" s="8" t="n"/>
      <c r="I43" s="15" t="n"/>
    </row>
    <row r="44">
      <c r="F44" s="9" t="n"/>
      <c r="G44" s="15" t="n"/>
      <c r="H44" s="8" t="n"/>
      <c r="I44" s="15" t="n"/>
    </row>
    <row r="45">
      <c r="F45" s="9" t="n"/>
      <c r="G45" s="15" t="n"/>
      <c r="H45" s="8" t="n"/>
      <c r="I45" s="15" t="n"/>
    </row>
    <row r="46">
      <c r="F46" s="9" t="n"/>
      <c r="G46" s="15" t="n"/>
      <c r="H46" s="8" t="n"/>
      <c r="I46" s="15" t="n"/>
    </row>
    <row r="47">
      <c r="F47" s="9" t="n"/>
      <c r="G47" s="15" t="n"/>
      <c r="H47" s="8" t="n"/>
      <c r="I47" s="15" t="n"/>
    </row>
    <row r="48">
      <c r="F48" s="9" t="n"/>
      <c r="G48" s="15" t="n"/>
      <c r="H48" s="8" t="n"/>
      <c r="I48" s="15" t="n"/>
    </row>
    <row r="49">
      <c r="F49" s="9" t="n"/>
      <c r="G49" s="15" t="n"/>
      <c r="H49" s="8" t="n"/>
      <c r="I49" s="15" t="n"/>
    </row>
    <row r="50">
      <c r="F50" s="9" t="n"/>
      <c r="G50" s="15" t="n"/>
      <c r="H50" s="8" t="n"/>
      <c r="I50" s="15" t="n"/>
    </row>
    <row r="51">
      <c r="F51" s="9" t="n"/>
      <c r="G51" s="15" t="n"/>
      <c r="H51" s="8" t="n"/>
      <c r="I51" s="15" t="n"/>
    </row>
    <row r="52">
      <c r="D52" s="1" t="inlineStr">
        <is>
          <t>Page 3</t>
        </is>
      </c>
      <c r="F52" s="9" t="n"/>
      <c r="G52" s="15" t="n"/>
      <c r="H52" s="8" t="n"/>
      <c r="I52" s="15" t="n"/>
    </row>
    <row r="53">
      <c r="F53" s="9" t="n"/>
      <c r="G53" s="15" t="n"/>
      <c r="H53" s="8" t="n"/>
      <c r="I53" s="15" t="n"/>
    </row>
  </sheetData>
  <conditionalFormatting sqref="A3:H32">
    <cfRule type="expression" priority="1" dxfId="0">
      <formula>MOD(ROW(),2)=1</formula>
    </cfRule>
  </conditionalFormatting>
  <pageMargins left="0.79" right="0.47" top="1.04" bottom="0.79" header="0.52" footer="0.79"/>
  <pageSetup orientation="portrait"/>
  <headerFooter alignWithMargins="0">
    <oddHeader>&amp;L&amp;"Arial,Bold"A BETTER DOOR&amp;C&amp;"Arial,Bold"INTERIOR_x000a_PRE-HUNG_x000a_DOORS OPTIONS&amp;R&amp;"Arial,Bold"WHOLESALE PRICES_x000a_EFFECTIVE August 15, 2020_x000a__x000a_          </oddHeader>
    <oddFooter>&amp;R_x000a__x000a__x000a__x000a_&amp;D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view="pageLayout" zoomScaleNormal="100" workbookViewId="0">
      <selection activeCell="G31" sqref="A3:G31"/>
    </sheetView>
  </sheetViews>
  <sheetFormatPr baseColWidth="8" defaultColWidth="8.77734375" defaultRowHeight="13.2"/>
  <cols>
    <col width="16.6640625" customWidth="1" style="6" min="1" max="1"/>
    <col width="4.77734375" customWidth="1" style="6" min="2" max="2"/>
    <col width="17.6640625" customWidth="1" style="6" min="3" max="3"/>
    <col width="7.44140625" customWidth="1" style="6" min="4" max="4"/>
    <col width="23.44140625" customWidth="1" style="6" min="5" max="5"/>
    <col width="10.77734375" customWidth="1" style="9" min="6" max="6"/>
    <col width="10.44140625" customWidth="1" style="9" min="7" max="7"/>
    <col width="8.77734375" customWidth="1" style="6" min="8" max="8"/>
    <col width="8.77734375" customWidth="1" style="6" min="9" max="16384"/>
  </cols>
  <sheetData>
    <row r="1">
      <c r="A1" s="2" t="n"/>
      <c r="B1" s="2" t="n"/>
      <c r="C1" s="2" t="n"/>
      <c r="D1" s="2" t="n"/>
      <c r="E1" s="2" t="n"/>
      <c r="F1" s="11" t="inlineStr">
        <is>
          <t>Single</t>
        </is>
      </c>
      <c r="G1" s="11" t="inlineStr">
        <is>
          <t>Double</t>
        </is>
      </c>
    </row>
    <row r="2">
      <c r="A2" s="2" t="n"/>
      <c r="B2" s="2" t="n"/>
      <c r="C2" s="2" t="n"/>
      <c r="D2" s="2" t="n"/>
      <c r="E2" s="2" t="n"/>
      <c r="F2" s="11" t="inlineStr">
        <is>
          <t>Door</t>
        </is>
      </c>
      <c r="G2" s="11" t="inlineStr">
        <is>
          <t>Doors</t>
        </is>
      </c>
    </row>
    <row r="3">
      <c r="A3" s="7" t="inlineStr">
        <is>
          <t>Double Door Options</t>
        </is>
      </c>
      <c r="F3" s="3" t="n"/>
      <c r="G3" s="3" t="n"/>
    </row>
    <row r="4">
      <c r="A4" s="2" t="n"/>
      <c r="F4" s="3" t="n"/>
      <c r="G4" s="3" t="n"/>
    </row>
    <row r="5">
      <c r="A5" s="1" t="inlineStr">
        <is>
          <t>Mortize &amp; Install 6" Flushbolt, each, US3,5,10B,15, 15A, 26,26D</t>
        </is>
      </c>
      <c r="B5" s="2" t="n"/>
      <c r="C5" s="2" t="n"/>
      <c r="D5" s="2" t="n"/>
      <c r="E5" s="2" t="n"/>
      <c r="F5" s="3" t="n"/>
      <c r="G5" s="4">
        <f>wholesale!H5*2</f>
        <v/>
      </c>
    </row>
    <row r="6">
      <c r="A6" s="2" t="inlineStr">
        <is>
          <t>Mortize &amp; Install 12" Extension Flushbolt-each, US3,4,5,10B,15,15A,26,26D</t>
        </is>
      </c>
      <c r="B6" s="2" t="n"/>
      <c r="C6" s="2" t="n"/>
      <c r="D6" s="2" t="n"/>
      <c r="E6" s="2" t="n"/>
      <c r="F6" s="4" t="n"/>
      <c r="G6" s="4">
        <f>wholesale!H6*2</f>
        <v/>
      </c>
    </row>
    <row r="7">
      <c r="A7" s="1" t="inlineStr">
        <is>
          <t>Install 1 3/8" FJ Pine T-Astragal - 6'8" &amp; 7' Doors</t>
        </is>
      </c>
      <c r="B7" s="2" t="n"/>
      <c r="C7" s="2" t="n"/>
      <c r="D7" s="2" t="n"/>
      <c r="E7" s="2" t="n"/>
      <c r="F7" s="4" t="n"/>
      <c r="G7" s="4">
        <f>wholesale!H7*2</f>
        <v/>
      </c>
    </row>
    <row r="8">
      <c r="A8" s="1" t="inlineStr">
        <is>
          <t>Install 1 3/8" Fir T-Astragal-6'8" &amp; 7' Doors</t>
        </is>
      </c>
      <c r="B8" s="2" t="n"/>
      <c r="C8" s="2" t="n"/>
      <c r="D8" s="5" t="n"/>
      <c r="E8" s="2" t="n"/>
      <c r="F8" s="4" t="n"/>
      <c r="G8" s="4">
        <f>wholesale!H8*2</f>
        <v/>
      </c>
    </row>
    <row r="9">
      <c r="A9" s="1" t="inlineStr">
        <is>
          <t>Install 1 3/8" Oak T-Astragal - 6'8" &amp; 7' Doors</t>
        </is>
      </c>
      <c r="B9" s="2" t="n"/>
      <c r="C9" s="2" t="n"/>
      <c r="D9" s="5" t="n"/>
      <c r="E9" s="2" t="n"/>
      <c r="F9" s="4" t="n"/>
      <c r="G9" s="4">
        <f>wholesale!H9*2</f>
        <v/>
      </c>
    </row>
    <row r="10">
      <c r="A10" s="1" t="inlineStr">
        <is>
          <t>Install 1 3/8" FJ Pine T-Astragal - 8' Doors</t>
        </is>
      </c>
      <c r="B10" s="2" t="n"/>
      <c r="C10" s="2" t="n"/>
      <c r="D10" s="5" t="n"/>
      <c r="E10" s="2" t="n"/>
      <c r="F10" s="4" t="n"/>
      <c r="G10" s="4">
        <f>wholesale!H10*2</f>
        <v/>
      </c>
    </row>
    <row r="11">
      <c r="A11" s="1" t="inlineStr">
        <is>
          <t>Install 1 3/8" Fir T-Astragal-8' Doors</t>
        </is>
      </c>
      <c r="B11" s="2" t="n"/>
      <c r="C11" s="2" t="n"/>
      <c r="D11" s="5" t="n"/>
      <c r="E11" s="2" t="n"/>
      <c r="F11" s="4" t="n"/>
      <c r="G11" s="4">
        <f>wholesale!H11*2</f>
        <v/>
      </c>
    </row>
    <row r="12">
      <c r="A12" s="1" t="inlineStr">
        <is>
          <t>Install 1 3/8" Oak T-Astragal - 8' Doors</t>
        </is>
      </c>
      <c r="B12" s="2" t="n"/>
      <c r="C12" s="2" t="n"/>
      <c r="D12" s="5" t="n"/>
      <c r="E12" s="2" t="n"/>
      <c r="F12" s="4" t="n"/>
      <c r="G12" s="4">
        <f>wholesale!H12*2</f>
        <v/>
      </c>
    </row>
    <row r="13">
      <c r="A13" s="1" t="inlineStr">
        <is>
          <t xml:space="preserve">Install 1 3/4" Fir T-Aastragal - 6/8, 7/0 &amp; 8/0 Doors  </t>
        </is>
      </c>
      <c r="B13" s="2" t="n"/>
      <c r="C13" s="2" t="n"/>
      <c r="D13" s="5" t="n"/>
      <c r="E13" s="2" t="n"/>
      <c r="F13" s="3" t="n"/>
      <c r="G13" s="4">
        <f>wholesale!H13*2</f>
        <v/>
      </c>
    </row>
    <row r="14">
      <c r="F14" s="3" t="n"/>
      <c r="G14" s="3" t="n"/>
    </row>
    <row r="15">
      <c r="A15" s="7" t="inlineStr">
        <is>
          <t>Misc. Options</t>
        </is>
      </c>
      <c r="F15" s="3" t="n"/>
      <c r="G15" s="3" t="n"/>
    </row>
    <row r="16">
      <c r="F16" s="3" t="n"/>
      <c r="G16" s="3" t="n"/>
    </row>
    <row r="17">
      <c r="A17" s="1" t="inlineStr">
        <is>
          <t>Install Primed FJ Pine Jambs on all 4 Sides</t>
        </is>
      </c>
      <c r="B17" s="2" t="n"/>
      <c r="C17" s="2" t="n"/>
      <c r="D17" s="2" t="n"/>
      <c r="E17" s="2" t="n"/>
      <c r="F17" s="4">
        <f>wholesale!F17*2</f>
        <v/>
      </c>
      <c r="G17" s="4">
        <f>wholesale!H17*2</f>
        <v/>
      </c>
    </row>
    <row r="18">
      <c r="A18" s="2" t="inlineStr">
        <is>
          <t>Cut Out &amp; Install Lite or Louvre Vent Supplied by Customer</t>
        </is>
      </c>
      <c r="B18" s="2" t="n"/>
      <c r="C18" s="2" t="n"/>
      <c r="D18" s="2" t="n"/>
      <c r="E18" s="2" t="n"/>
      <c r="F18" s="4">
        <f>wholesale!F18*2</f>
        <v/>
      </c>
      <c r="G18" s="4" t="n"/>
    </row>
    <row r="19">
      <c r="A19" s="1" t="inlineStr">
        <is>
          <t>Cut Out Only for Pet Door (Supplied by Customer)</t>
        </is>
      </c>
      <c r="B19" s="2" t="n"/>
      <c r="C19" s="2" t="n"/>
      <c r="D19" s="2" t="n"/>
      <c r="E19" s="2" t="n"/>
      <c r="F19" s="4">
        <f>wholesale!F19*2</f>
        <v/>
      </c>
      <c r="G19" s="4" t="n"/>
    </row>
    <row r="20">
      <c r="A20" s="2" t="inlineStr">
        <is>
          <t>Cut Out and Install Pet Door (Supplied by Customer)</t>
        </is>
      </c>
      <c r="B20" s="2" t="n"/>
      <c r="C20" s="2" t="n"/>
      <c r="D20" s="2" t="n"/>
      <c r="E20" s="2" t="n"/>
      <c r="F20" s="4">
        <f>wholesale!F20*2</f>
        <v/>
      </c>
      <c r="G20" s="4" t="n"/>
    </row>
    <row r="21">
      <c r="A21" s="2" t="inlineStr">
        <is>
          <t>Cut Casings-per set</t>
        </is>
      </c>
      <c r="B21" s="2" t="n"/>
      <c r="C21" s="2" t="n"/>
      <c r="D21" s="2" t="n"/>
      <c r="E21" s="2" t="n"/>
      <c r="F21" s="4">
        <f>wholesale!F21*2</f>
        <v/>
      </c>
      <c r="G21" s="4">
        <f>wholesale!H21*2</f>
        <v/>
      </c>
    </row>
    <row r="22">
      <c r="A22" s="1" t="inlineStr">
        <is>
          <t>Dutch Doors, added cost to prehang, (Dutch Door bolt not included)  Minimum</t>
        </is>
      </c>
      <c r="B22" s="2" t="n"/>
      <c r="C22" s="2" t="n"/>
      <c r="D22" s="2" t="n"/>
      <c r="E22" s="2" t="n"/>
      <c r="F22" s="4">
        <f>wholesale!F23*2</f>
        <v/>
      </c>
      <c r="G22" s="4" t="n"/>
    </row>
    <row r="23">
      <c r="A23" s="2" t="inlineStr">
        <is>
          <t>Install Roller Catch</t>
        </is>
      </c>
      <c r="B23" s="2" t="n"/>
      <c r="C23" s="2" t="n"/>
      <c r="D23" s="2" t="n"/>
      <c r="E23" s="2" t="n"/>
      <c r="F23" s="4">
        <f>wholesale!F24*2</f>
        <v/>
      </c>
      <c r="G23" s="4" t="inlineStr">
        <is>
          <t>n/c</t>
        </is>
      </c>
    </row>
    <row r="24">
      <c r="A24" s="1" t="inlineStr">
        <is>
          <t>Prehang 4-panel hinge fold doors equals twice double door prices</t>
        </is>
      </c>
      <c r="F24" s="3" t="inlineStr">
        <is>
          <t>See Prehang</t>
        </is>
      </c>
      <c r="G24" s="3" t="inlineStr">
        <is>
          <t>Prices</t>
        </is>
      </c>
    </row>
    <row r="25">
      <c r="F25" s="3" t="n"/>
      <c r="G25" s="3" t="n"/>
    </row>
    <row r="26">
      <c r="A26" s="7" t="inlineStr">
        <is>
          <t>Hinge Finishes</t>
        </is>
      </c>
      <c r="F26" s="8" t="n"/>
    </row>
    <row r="27">
      <c r="F27" s="4" t="inlineStr">
        <is>
          <t xml:space="preserve"> </t>
        </is>
      </c>
    </row>
    <row r="28">
      <c r="A28" s="2" t="inlineStr">
        <is>
          <t>Bright Brass</t>
        </is>
      </c>
      <c r="B28" s="2" t="inlineStr">
        <is>
          <t>US3</t>
        </is>
      </c>
      <c r="C28" s="2" t="inlineStr">
        <is>
          <t>Oil Rubbed Bronze</t>
        </is>
      </c>
      <c r="D28" s="2" t="inlineStr">
        <is>
          <t>US10B</t>
        </is>
      </c>
      <c r="E28" s="1" t="inlineStr">
        <is>
          <t>Polished Chrome</t>
        </is>
      </c>
      <c r="F28" s="10" t="inlineStr">
        <is>
          <t>US26</t>
        </is>
      </c>
    </row>
    <row r="29">
      <c r="A29" s="2" t="inlineStr">
        <is>
          <t>Satin (Dull) Brass</t>
        </is>
      </c>
      <c r="B29" s="2" t="inlineStr">
        <is>
          <t>US4</t>
        </is>
      </c>
      <c r="C29" s="2" t="inlineStr">
        <is>
          <t>Satin Nickel</t>
        </is>
      </c>
      <c r="D29" s="2" t="inlineStr">
        <is>
          <t>US15</t>
        </is>
      </c>
      <c r="E29" s="2" t="inlineStr">
        <is>
          <t>Satin Chrome</t>
        </is>
      </c>
      <c r="F29" s="10" t="inlineStr">
        <is>
          <t>US26D</t>
        </is>
      </c>
    </row>
    <row r="30">
      <c r="A30" s="2" t="inlineStr">
        <is>
          <t>Antique Brass</t>
        </is>
      </c>
      <c r="B30" s="2" t="inlineStr">
        <is>
          <t>US5</t>
        </is>
      </c>
      <c r="C30" s="2" t="inlineStr">
        <is>
          <t>Antique Nickel</t>
        </is>
      </c>
      <c r="D30" s="2" t="inlineStr">
        <is>
          <t>US15A</t>
        </is>
      </c>
      <c r="E30" s="2" t="inlineStr">
        <is>
          <t>Stainless Steel,Satin</t>
        </is>
      </c>
      <c r="F30" s="10" t="inlineStr">
        <is>
          <t>US32D</t>
        </is>
      </c>
    </row>
    <row r="31">
      <c r="A31" s="1" t="inlineStr">
        <is>
          <t>Black                       L1</t>
        </is>
      </c>
    </row>
    <row r="32">
      <c r="D32" s="1" t="n"/>
    </row>
    <row r="51">
      <c r="D51" s="1" t="inlineStr">
        <is>
          <t>Page 3</t>
        </is>
      </c>
    </row>
  </sheetData>
  <conditionalFormatting sqref="A3:G31">
    <cfRule type="expression" priority="1" dxfId="0">
      <formula>MOD(ROW(),2)=1</formula>
    </cfRule>
  </conditionalFormatting>
  <pageMargins left="0.82" right="0.63" top="1.041666666666667" bottom="0.7" header="0.5" footer="0.5"/>
  <pageSetup orientation="portrait"/>
  <headerFooter alignWithMargins="0">
    <oddHeader>&amp;L&amp;"Arial,Bold"A BETTER DOOR&amp;C&amp;"Arial,Bold"INTERIOR_x000a_PRE-HUNG_x000a_DOOR OPTIONS&amp;R&amp;"Arial,Bold"RETAIL PRICES_x000a_EFFECTIVE August 15, 2020</oddHeader>
    <oddFooter>&amp;R_x000a__x000a__x000a_&amp;D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Rockafellow</dc:creator>
  <dcterms:created xsi:type="dcterms:W3CDTF">2004-06-16T21:25:00Z</dcterms:created>
  <dcterms:modified xsi:type="dcterms:W3CDTF">2020-07-25T20:23:59Z</dcterms:modified>
  <cp:lastModifiedBy>Margo</cp:lastModifiedBy>
  <cp:lastPrinted>2020-07-25T16:16:16Z</cp:lastPrinted>
</cp:coreProperties>
</file>