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1" firstSheet="0" activeTab="0" autoFilterDateGrouping="1"/>
  </bookViews>
  <sheets>
    <sheet name="wholesale" sheetId="1" state="visible" r:id="rId1"/>
    <sheet name="retail" sheetId="2" state="visible" r:id="rId2"/>
  </sheets>
  <definedNames>
    <definedName name="_xlnm.Print_Area" localSheetId="0">'wholesale'!$A$1:$E$53</definedName>
    <definedName name="_xlnm.Print_Area" localSheetId="1">'retail'!$A$1:$G$57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b val="1"/>
      <i val="1"/>
      <sz val="10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Helvetica"/>
      <family val="2"/>
      <color rgb="FF454545"/>
      <sz val="12"/>
    </font>
    <font>
      <name val="Helvetica Neue"/>
      <family val="2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2" fontId="0" fillId="0" borderId="0" applyAlignment="1" pivotButton="0" quotePrefix="0" xfId="0">
      <alignment horizontal="center"/>
    </xf>
    <xf numFmtId="2" fontId="0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4" fontId="4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4" fontId="6" fillId="0" borderId="0" applyAlignment="1" pivotButton="0" quotePrefix="0" xfId="0">
      <alignment horizontal="center"/>
    </xf>
    <xf numFmtId="0" fontId="2" fillId="0" borderId="0" pivotButton="0" quotePrefix="0" xfId="0"/>
    <xf numFmtId="13" fontId="4" fillId="0" borderId="0" pivotButton="0" quotePrefix="0" xfId="0"/>
    <xf numFmtId="0" fontId="5" fillId="0" borderId="0" pivotButton="0" quotePrefix="0" xfId="0"/>
    <xf numFmtId="4" fontId="7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4" fontId="2" fillId="0" borderId="0" pivotButton="0" quotePrefix="0" xfId="0"/>
    <xf numFmtId="2" fontId="2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left"/>
    </xf>
  </cellXfs>
  <cellStyles count="1">
    <cellStyle name="Normal" xfId="0" builtinId="0"/>
  </cellStyles>
  <dxfs count="2">
    <dxf>
      <fill>
        <patternFill patternType="lightGray"/>
      </fill>
    </dxf>
    <dxf>
      <fill>
        <patternFill patternType="lightGray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K53"/>
  <sheetViews>
    <sheetView tabSelected="1" view="pageBreakPreview" topLeftCell="A3" zoomScale="60" zoomScaleNormal="100" workbookViewId="0">
      <selection activeCell="M17" sqref="M17"/>
    </sheetView>
  </sheetViews>
  <sheetFormatPr baseColWidth="8" defaultColWidth="8.7109375" defaultRowHeight="12.75"/>
  <cols>
    <col width="22.7109375" customWidth="1" style="1" min="1" max="1"/>
    <col width="16.42578125" customWidth="1" style="12" min="2" max="2"/>
    <col width="16" customWidth="1" style="12" min="3" max="3"/>
    <col width="18.140625" customWidth="1" style="12" min="4" max="4"/>
    <col width="18.28515625" customWidth="1" style="12" min="5" max="5"/>
    <col width="17" customWidth="1" style="11" min="6" max="6"/>
    <col width="7.28515625" customWidth="1" style="4" min="7" max="10"/>
    <col width="8" customWidth="1" style="4" min="11" max="11"/>
    <col width="8.7109375" customWidth="1" style="4" min="12" max="16384"/>
  </cols>
  <sheetData>
    <row r="1" customFormat="1" s="7">
      <c r="A1" s="5" t="inlineStr">
        <is>
          <t>JAMB TYPE</t>
        </is>
      </c>
      <c r="B1" s="6" t="inlineStr">
        <is>
          <t>6/8  SINGLE</t>
        </is>
      </c>
      <c r="C1" s="6" t="inlineStr">
        <is>
          <t>6/8  DOUBLE</t>
        </is>
      </c>
      <c r="D1" s="6" t="inlineStr">
        <is>
          <t>7/0 &amp; 8/0 SINGLE</t>
        </is>
      </c>
      <c r="E1" s="6" t="inlineStr">
        <is>
          <t>7/0 &amp; 8/0 DOUBLE</t>
        </is>
      </c>
      <c r="F1" s="15" t="n"/>
    </row>
    <row r="2" customFormat="1" s="7">
      <c r="A2" s="5" t="inlineStr">
        <is>
          <t>AND SIZE</t>
        </is>
      </c>
      <c r="B2" s="6" t="n"/>
      <c r="C2" s="6" t="n"/>
      <c r="D2" s="6" t="n"/>
      <c r="E2" s="6" t="n"/>
      <c r="F2" s="15" t="n"/>
    </row>
    <row r="3" ht="15" customHeight="1" s="4">
      <c r="A3" s="1" t="inlineStr">
        <is>
          <t>PR PINE 4 9/16</t>
        </is>
      </c>
      <c r="B3" s="16" t="n">
        <v>56.5</v>
      </c>
      <c r="C3" s="16" t="n">
        <v>135</v>
      </c>
      <c r="D3" s="16" t="n">
        <v>89.5</v>
      </c>
      <c r="E3" s="16" t="n">
        <v>156</v>
      </c>
      <c r="G3" s="17" t="n"/>
      <c r="H3" s="3" t="n"/>
      <c r="I3" s="3" t="n"/>
      <c r="J3" s="3" t="n"/>
      <c r="K3" s="3" t="n"/>
    </row>
    <row r="4">
      <c r="A4" s="1" t="inlineStr">
        <is>
          <t>PR PINE 4 13/16</t>
        </is>
      </c>
      <c r="B4" s="16" t="n">
        <v>75</v>
      </c>
      <c r="C4" s="16" t="n">
        <v>149.5</v>
      </c>
      <c r="D4" s="16" t="n">
        <v>101.5</v>
      </c>
      <c r="E4" s="16" t="n">
        <v>170</v>
      </c>
      <c r="G4" s="3" t="n"/>
      <c r="H4" s="3" t="n"/>
      <c r="I4" s="3" t="n"/>
      <c r="J4" s="3" t="n"/>
      <c r="K4" s="3" t="n"/>
    </row>
    <row r="5">
      <c r="A5" s="1" t="inlineStr">
        <is>
          <t>PR PINE 5 1/4</t>
        </is>
      </c>
      <c r="B5" s="16" t="n">
        <v>73.5</v>
      </c>
      <c r="C5" s="16" t="n">
        <v>149.5</v>
      </c>
      <c r="D5" s="16" t="n">
        <v>101.5</v>
      </c>
      <c r="E5" s="16" t="n">
        <v>170</v>
      </c>
      <c r="G5" s="3" t="n"/>
      <c r="H5" s="3" t="n"/>
      <c r="I5" s="3" t="n"/>
      <c r="J5" s="3" t="n"/>
      <c r="K5" s="3" t="n"/>
    </row>
    <row r="6">
      <c r="A6" s="1" t="inlineStr">
        <is>
          <t>PR PINE 6 1/2</t>
        </is>
      </c>
      <c r="B6" s="16" t="n">
        <v>97</v>
      </c>
      <c r="C6" s="16" t="n">
        <v>166.5</v>
      </c>
      <c r="D6" s="16" t="n">
        <v>119</v>
      </c>
      <c r="E6" s="16" t="n">
        <v>183.5</v>
      </c>
      <c r="G6" s="3" t="n"/>
      <c r="H6" s="3" t="n"/>
      <c r="I6" s="3" t="n"/>
      <c r="J6" s="3" t="n"/>
      <c r="K6" s="3" t="n"/>
    </row>
    <row r="7">
      <c r="A7" s="1" t="inlineStr">
        <is>
          <t>PR PINE 7 1/4</t>
        </is>
      </c>
      <c r="B7" s="16" t="n">
        <v>107</v>
      </c>
      <c r="C7" s="16" t="n">
        <v>178</v>
      </c>
      <c r="D7" s="16" t="n">
        <v>133</v>
      </c>
      <c r="E7" s="16" t="n">
        <v>201</v>
      </c>
      <c r="G7" s="3" t="n"/>
      <c r="H7" s="3" t="n"/>
      <c r="I7" s="3" t="n"/>
      <c r="J7" s="3" t="n"/>
      <c r="K7" s="3" t="n"/>
    </row>
    <row r="8">
      <c r="B8" s="16" t="n"/>
      <c r="C8" s="16" t="n"/>
      <c r="D8" s="16" t="n"/>
      <c r="E8" s="16" t="n"/>
      <c r="G8" s="3" t="n"/>
      <c r="H8" s="3" t="n"/>
      <c r="I8" s="3" t="n"/>
      <c r="J8" s="3" t="n"/>
      <c r="K8" s="3" t="n"/>
    </row>
    <row r="9" ht="15" customHeight="1" s="4">
      <c r="A9" s="1" t="inlineStr">
        <is>
          <t>SG PINE 4 9/16</t>
        </is>
      </c>
      <c r="B9" s="16" t="n">
        <v>108.5</v>
      </c>
      <c r="C9" s="16" t="n">
        <v>178.5</v>
      </c>
      <c r="D9" s="16" t="n">
        <v>160</v>
      </c>
      <c r="E9" s="16" t="n">
        <v>244.5</v>
      </c>
      <c r="G9" s="18" t="n"/>
      <c r="H9" s="18" t="n"/>
      <c r="I9" s="18" t="n"/>
      <c r="J9" s="18" t="n"/>
      <c r="K9" s="3" t="n"/>
    </row>
    <row r="10">
      <c r="A10" s="1" t="inlineStr">
        <is>
          <t>SG PINE 4 13/16</t>
        </is>
      </c>
      <c r="B10" s="16" t="n">
        <v>118.5</v>
      </c>
      <c r="C10" s="16" t="n">
        <v>195.5</v>
      </c>
      <c r="D10" s="16" t="n">
        <v>178.5</v>
      </c>
      <c r="E10" s="16" t="n">
        <v>257.5</v>
      </c>
      <c r="G10" s="3" t="n"/>
      <c r="H10" s="3" t="n"/>
      <c r="I10" s="3" t="n"/>
      <c r="J10" s="3" t="n"/>
      <c r="K10" s="3" t="n"/>
    </row>
    <row r="11" ht="15" customHeight="1" s="4">
      <c r="A11" s="1" t="inlineStr">
        <is>
          <t>SG PINE 5 1/4</t>
        </is>
      </c>
      <c r="B11" s="16" t="n">
        <v>118.5</v>
      </c>
      <c r="C11" s="16" t="n">
        <v>195.5</v>
      </c>
      <c r="D11" s="16" t="n">
        <v>178.5</v>
      </c>
      <c r="E11" s="16" t="n">
        <v>257.5</v>
      </c>
      <c r="G11" s="18" t="n"/>
      <c r="H11" s="18" t="n"/>
      <c r="I11" s="18" t="n"/>
      <c r="J11" s="18" t="n"/>
      <c r="K11" s="3" t="n"/>
    </row>
    <row r="12">
      <c r="A12" s="1" t="inlineStr">
        <is>
          <t>SG PINE 6 1/2</t>
        </is>
      </c>
      <c r="B12" s="16" t="n">
        <v>142</v>
      </c>
      <c r="C12" s="16" t="n">
        <v>221.5</v>
      </c>
      <c r="D12" s="16" t="n">
        <v>200.5</v>
      </c>
      <c r="E12" s="16" t="n">
        <v>279.5</v>
      </c>
      <c r="G12" s="3" t="n"/>
      <c r="H12" s="3" t="n"/>
      <c r="I12" s="3" t="n"/>
      <c r="J12" s="3" t="n"/>
      <c r="K12" s="3" t="n"/>
    </row>
    <row r="13" ht="15" customHeight="1" s="4">
      <c r="A13" s="1" t="inlineStr">
        <is>
          <t>SG PINE 7 1/4</t>
        </is>
      </c>
      <c r="B13" s="16" t="n">
        <v>155</v>
      </c>
      <c r="C13" s="16" t="n">
        <v>234</v>
      </c>
      <c r="D13" s="16" t="n">
        <v>216</v>
      </c>
      <c r="E13" s="16" t="n">
        <v>290</v>
      </c>
      <c r="G13" s="18" t="n"/>
      <c r="H13" s="18" t="n"/>
      <c r="I13" s="18" t="n"/>
      <c r="J13" s="18" t="n"/>
      <c r="K13" s="3" t="n"/>
    </row>
    <row r="14">
      <c r="B14" s="16" t="n"/>
      <c r="C14" s="16" t="n"/>
      <c r="D14" s="16" t="n"/>
      <c r="E14" s="16" t="n"/>
      <c r="G14" s="3" t="n"/>
      <c r="H14" s="3" t="n"/>
      <c r="I14" s="3" t="n"/>
      <c r="J14" s="3" t="n"/>
      <c r="K14" s="3" t="n"/>
    </row>
    <row r="15" ht="15" customHeight="1" s="4">
      <c r="A15" s="1" t="inlineStr">
        <is>
          <t>VG FIR 4 9/16</t>
        </is>
      </c>
      <c r="B15" s="16" t="n">
        <v>135</v>
      </c>
      <c r="C15" s="16" t="n">
        <v>210.5</v>
      </c>
      <c r="D15" s="16" t="n">
        <v>212</v>
      </c>
      <c r="E15" s="16" t="n">
        <v>294</v>
      </c>
      <c r="G15" s="18" t="n"/>
      <c r="H15" s="18" t="n"/>
      <c r="I15" s="18" t="n"/>
      <c r="J15" s="18" t="n"/>
      <c r="K15" s="3" t="n"/>
    </row>
    <row r="16">
      <c r="A16" s="1" t="inlineStr">
        <is>
          <t>VG FIR 4 13/16</t>
        </is>
      </c>
      <c r="B16" s="16" t="n">
        <v>155</v>
      </c>
      <c r="C16" s="16" t="n">
        <v>244.5</v>
      </c>
      <c r="D16" s="16" t="n">
        <v>221.5</v>
      </c>
      <c r="E16" s="16" t="n">
        <v>314</v>
      </c>
      <c r="G16" s="3" t="n"/>
      <c r="H16" s="3" t="n"/>
      <c r="I16" s="3" t="n"/>
      <c r="J16" s="3" t="n"/>
      <c r="K16" s="3" t="n"/>
    </row>
    <row r="17" ht="15" customHeight="1" s="4">
      <c r="A17" s="1" t="inlineStr">
        <is>
          <t>VG FIR 5 1/4</t>
        </is>
      </c>
      <c r="B17" s="16" t="n">
        <v>155</v>
      </c>
      <c r="C17" s="16" t="n">
        <v>244.5</v>
      </c>
      <c r="D17" s="16" t="n">
        <v>221.5</v>
      </c>
      <c r="E17" s="16" t="n">
        <v>314</v>
      </c>
      <c r="G17" s="18" t="n"/>
      <c r="H17" s="18" t="n"/>
      <c r="I17" s="18" t="n"/>
      <c r="J17" s="18" t="n"/>
      <c r="K17" s="3" t="n"/>
    </row>
    <row r="18">
      <c r="A18" s="1" t="inlineStr">
        <is>
          <t>VG FIR 7 1/4</t>
        </is>
      </c>
      <c r="B18" s="16" t="n">
        <v>274.5</v>
      </c>
      <c r="C18" s="16" t="n">
        <v>393</v>
      </c>
      <c r="D18" s="16" t="n"/>
      <c r="E18" s="16" t="n"/>
      <c r="G18" s="3" t="n"/>
      <c r="H18" s="3" t="n"/>
      <c r="I18" s="3" t="n"/>
      <c r="J18" s="3" t="n"/>
      <c r="K18" s="3" t="n"/>
    </row>
    <row r="19" ht="15" customHeight="1" s="4">
      <c r="B19" s="16" t="n"/>
      <c r="C19" s="19" t="n"/>
      <c r="D19" s="19" t="n"/>
      <c r="E19" s="16" t="n"/>
      <c r="G19" s="18" t="n"/>
      <c r="H19" s="18" t="n"/>
      <c r="I19" s="18" t="n"/>
      <c r="J19" s="18" t="n"/>
    </row>
    <row r="20">
      <c r="A20" s="1" t="inlineStr">
        <is>
          <t>SOL OAK 4 9/16</t>
        </is>
      </c>
      <c r="B20" s="16" t="n">
        <v>163</v>
      </c>
      <c r="C20" s="16" t="n">
        <v>246</v>
      </c>
      <c r="D20" s="16" t="n">
        <v>227</v>
      </c>
      <c r="E20" s="16" t="n">
        <v>296.5</v>
      </c>
      <c r="G20" s="3" t="n"/>
      <c r="H20" s="3" t="n"/>
      <c r="I20" s="3" t="n"/>
      <c r="J20" s="3" t="n"/>
    </row>
    <row r="21" ht="15" customHeight="1" s="4">
      <c r="A21" s="1" t="inlineStr">
        <is>
          <t>SOL OAK 5 1/4</t>
        </is>
      </c>
      <c r="B21" s="16" t="n">
        <v>211</v>
      </c>
      <c r="C21" s="16" t="n">
        <v>265.5</v>
      </c>
      <c r="D21" s="16" t="n">
        <v>267</v>
      </c>
      <c r="E21" s="16" t="n">
        <v>323.5</v>
      </c>
      <c r="G21" s="18" t="n"/>
      <c r="H21" s="18" t="n"/>
      <c r="I21" s="18" t="n"/>
      <c r="J21" s="18" t="n"/>
    </row>
    <row r="22">
      <c r="B22" s="19" t="n"/>
      <c r="C22" s="19" t="n"/>
      <c r="D22" s="19" t="n"/>
      <c r="E22" s="16" t="n"/>
    </row>
    <row r="23">
      <c r="B23" s="9" t="inlineStr">
        <is>
          <t>6/8 BIPASS</t>
        </is>
      </c>
      <c r="C23" s="9" t="inlineStr">
        <is>
          <t>6/8 BIPASS</t>
        </is>
      </c>
      <c r="D23" s="9" t="inlineStr">
        <is>
          <t>7/0 &amp; 8/0 BIPASS</t>
        </is>
      </c>
      <c r="E23" s="9" t="inlineStr">
        <is>
          <t>7/0 &amp; 8/0 BIPASS</t>
        </is>
      </c>
    </row>
    <row r="24">
      <c r="B24" s="9" t="inlineStr">
        <is>
          <t>2 DOOR</t>
        </is>
      </c>
      <c r="C24" s="9" t="inlineStr">
        <is>
          <t>3 DOOR</t>
        </is>
      </c>
      <c r="D24" s="1" t="inlineStr">
        <is>
          <t xml:space="preserve">        2 DOOR</t>
        </is>
      </c>
      <c r="E24" s="1" t="inlineStr">
        <is>
          <t xml:space="preserve">       3 DOOR   </t>
        </is>
      </c>
    </row>
    <row r="25" ht="15" customHeight="1" s="4">
      <c r="A25" s="1" t="inlineStr">
        <is>
          <t>PR PINE 4 9/16</t>
        </is>
      </c>
      <c r="B25" s="16" t="n">
        <v>65.5</v>
      </c>
      <c r="C25" s="16" t="n">
        <v>85</v>
      </c>
      <c r="D25" s="16" t="n">
        <v>87</v>
      </c>
      <c r="E25" s="16" t="n">
        <v>103.5</v>
      </c>
      <c r="G25" s="17" t="n"/>
    </row>
    <row r="26">
      <c r="A26" s="1" t="inlineStr">
        <is>
          <t>PR PINE 4 13/16</t>
        </is>
      </c>
      <c r="B26" s="16" t="n">
        <v>79</v>
      </c>
      <c r="C26" s="16" t="n">
        <v>98.5</v>
      </c>
      <c r="D26" s="16" t="n">
        <v>98.5</v>
      </c>
      <c r="E26" s="16" t="n">
        <v>115</v>
      </c>
    </row>
    <row r="27">
      <c r="A27" s="1" t="inlineStr">
        <is>
          <t>PR PINE 5 1/4</t>
        </is>
      </c>
      <c r="B27" s="16" t="n">
        <v>79</v>
      </c>
      <c r="C27" s="16" t="n">
        <v>98.5</v>
      </c>
      <c r="D27" s="16" t="n">
        <v>98.5</v>
      </c>
      <c r="E27" s="16" t="n">
        <v>115</v>
      </c>
    </row>
    <row r="28">
      <c r="A28" s="1" t="inlineStr">
        <is>
          <t>PR PINE 6 1/2</t>
        </is>
      </c>
      <c r="B28" s="16" t="n">
        <v>103.5</v>
      </c>
      <c r="C28" s="16" t="n">
        <v>128</v>
      </c>
      <c r="D28" s="16" t="n">
        <v>128</v>
      </c>
      <c r="E28" s="16" t="n">
        <v>153.5</v>
      </c>
    </row>
    <row r="29">
      <c r="A29" s="1" t="inlineStr">
        <is>
          <t>PR PINE 7 1/4</t>
        </is>
      </c>
      <c r="B29" s="16" t="n">
        <v>103.5</v>
      </c>
      <c r="C29" s="16" t="n">
        <v>128</v>
      </c>
      <c r="D29" s="16" t="n">
        <v>128</v>
      </c>
      <c r="E29" s="16" t="n">
        <v>153.5</v>
      </c>
    </row>
    <row r="30"/>
    <row r="31" ht="15" customHeight="1" s="4">
      <c r="A31" s="1" t="inlineStr">
        <is>
          <t>SG PINE 4 9/16</t>
        </is>
      </c>
      <c r="B31" s="16" t="n">
        <v>107.5</v>
      </c>
      <c r="C31" s="16" t="n">
        <v>120</v>
      </c>
      <c r="D31" s="16" t="n">
        <v>120.5</v>
      </c>
      <c r="E31" s="16" t="n">
        <v>135</v>
      </c>
      <c r="G31" s="18" t="n"/>
      <c r="H31" s="18" t="n"/>
      <c r="I31" s="18" t="n"/>
      <c r="J31" s="18" t="n"/>
    </row>
    <row r="32">
      <c r="A32" s="1" t="inlineStr">
        <is>
          <t>SG PINE 5 1/4</t>
        </is>
      </c>
      <c r="B32" s="16" t="n">
        <v>118.5</v>
      </c>
      <c r="C32" s="16" t="n">
        <v>133</v>
      </c>
      <c r="D32" s="16" t="n">
        <v>133</v>
      </c>
      <c r="E32" s="16" t="n">
        <v>149</v>
      </c>
      <c r="G32" s="3" t="n"/>
      <c r="H32" s="3" t="n"/>
      <c r="I32" s="3" t="n"/>
      <c r="J32" s="3" t="n"/>
      <c r="K32" s="3" t="n"/>
    </row>
    <row r="33">
      <c r="B33" s="16" t="n"/>
      <c r="C33" s="16" t="n"/>
      <c r="D33" s="16" t="n"/>
      <c r="E33" s="16" t="n"/>
      <c r="G33" s="3" t="n"/>
      <c r="H33" s="3" t="n"/>
      <c r="I33" s="3" t="n"/>
      <c r="J33" s="3" t="n"/>
      <c r="K33" s="3" t="n"/>
    </row>
    <row r="34">
      <c r="A34" s="1" t="inlineStr">
        <is>
          <t>VG FIR 4 9/16</t>
        </is>
      </c>
      <c r="B34" s="16" t="n">
        <v>137</v>
      </c>
      <c r="C34" s="16" t="n">
        <v>158</v>
      </c>
      <c r="D34" s="16" t="n">
        <v>155</v>
      </c>
      <c r="E34" s="16" t="n">
        <v>186.5</v>
      </c>
      <c r="G34" s="3" t="n"/>
      <c r="H34" s="3" t="n"/>
      <c r="I34" s="3" t="n"/>
      <c r="J34" s="3" t="n"/>
      <c r="K34" s="3" t="n"/>
    </row>
    <row r="35">
      <c r="A35" s="1" t="inlineStr">
        <is>
          <t>VG FIR 5 1/4</t>
        </is>
      </c>
      <c r="B35" s="16" t="n">
        <v>152.5</v>
      </c>
      <c r="C35" s="16" t="n">
        <v>177</v>
      </c>
      <c r="D35" s="16" t="n">
        <v>169.5</v>
      </c>
      <c r="E35" s="16" t="n">
        <v>202.5</v>
      </c>
      <c r="G35" s="3" t="n"/>
      <c r="H35" s="3" t="n"/>
      <c r="I35" s="3" t="n"/>
      <c r="J35" s="3" t="n"/>
      <c r="K35" s="3" t="n"/>
    </row>
    <row r="36">
      <c r="A36" s="1" t="inlineStr">
        <is>
          <t>VG FIR 7 1/4</t>
        </is>
      </c>
      <c r="B36" s="20" t="n"/>
      <c r="C36" s="16" t="n">
        <v>223</v>
      </c>
      <c r="D36" s="16" t="n"/>
      <c r="E36" s="20" t="n"/>
      <c r="G36" s="3" t="n"/>
      <c r="H36" s="3" t="n"/>
      <c r="I36" s="3" t="n"/>
      <c r="J36" s="3" t="n"/>
      <c r="K36" s="3" t="n"/>
    </row>
    <row r="37" ht="15" customHeight="1" s="4">
      <c r="A37" s="1" t="inlineStr">
        <is>
          <t xml:space="preserve"> Bipass with Rectangular Pulls Add: 2-Door 51.00, 3-Door (4 Pulls) 102.00 </t>
        </is>
      </c>
      <c r="B37" s="20" t="n"/>
      <c r="C37" s="20" t="n"/>
      <c r="D37" s="10" t="n"/>
      <c r="E37" s="16" t="n"/>
      <c r="G37" s="18" t="n"/>
      <c r="H37" s="18" t="n"/>
      <c r="I37" s="18" t="n"/>
      <c r="J37" s="18" t="n"/>
      <c r="K37" s="3" t="n"/>
    </row>
    <row r="38">
      <c r="G38" s="3" t="n"/>
      <c r="H38" s="3" t="n"/>
      <c r="I38" s="3" t="n"/>
      <c r="J38" s="3" t="n"/>
      <c r="K38" s="3" t="n"/>
    </row>
    <row r="39" ht="15" customHeight="1" s="4">
      <c r="A39" s="13" t="inlineStr">
        <is>
          <t>STANDARD DOOR SPECIFICATIONS &amp; ITEMS SUPPLIED BY A BETTER DOOR</t>
        </is>
      </c>
      <c r="G39" s="18" t="n"/>
      <c r="H39" s="18" t="n"/>
      <c r="I39" s="18" t="n"/>
      <c r="J39" s="18" t="n"/>
      <c r="K39" s="3" t="n"/>
    </row>
    <row r="40">
      <c r="A40" s="1" t="inlineStr">
        <is>
          <t xml:space="preserve">    Int. Jambs, Stops &amp; 3 ea. 3 1/2" X 3 1/2" x 1/4"R Satin Br  hinges per door for 6/8 and 7/0 doors.</t>
        </is>
      </c>
      <c r="G40" s="3" t="n"/>
      <c r="H40" s="3" t="n"/>
      <c r="I40" s="3" t="n"/>
      <c r="J40" s="3" t="n"/>
      <c r="K40" s="3" t="n"/>
    </row>
    <row r="41" ht="15" customHeight="1" s="4">
      <c r="A41" s="1" t="inlineStr">
        <is>
          <t xml:space="preserve">                                    4 ea. 3 1/2" X 3 1/2" x 1/4"R Satin Br  hinges per door for 8/0 doors.</t>
        </is>
      </c>
      <c r="G41" s="18" t="n"/>
      <c r="H41" s="18" t="n"/>
      <c r="I41" s="18" t="n"/>
      <c r="J41" s="18" t="n"/>
      <c r="K41" s="3" t="n"/>
    </row>
    <row r="42">
      <c r="A42" s="1" t="inlineStr">
        <is>
          <t xml:space="preserve">   Double Door prices include Ball Catches, add for Astragal and Flush Bolt.</t>
        </is>
      </c>
      <c r="G42" s="3" t="n"/>
      <c r="H42" s="3" t="n"/>
      <c r="I42" s="3" t="n"/>
      <c r="J42" s="3" t="n"/>
      <c r="K42" s="3" t="n"/>
    </row>
    <row r="43" ht="15" customHeight="1" s="4">
      <c r="A43" s="1" t="inlineStr">
        <is>
          <t xml:space="preserve">   Stain Grade Pine and Vertical Grain Fir jambs may be veneer.</t>
        </is>
      </c>
      <c r="G43" s="18" t="n"/>
      <c r="H43" s="18" t="n"/>
      <c r="I43" s="18" t="n"/>
      <c r="J43" s="18" t="n"/>
      <c r="K43" s="3" t="n"/>
    </row>
    <row r="44">
      <c r="A44" s="1" t="inlineStr">
        <is>
          <t xml:space="preserve">   Hinge spacing to be approximately 7" from top of door and 11" from bottom of door. </t>
        </is>
      </c>
      <c r="D44" s="1" t="n"/>
      <c r="G44" s="3" t="n"/>
      <c r="H44" s="3" t="n"/>
      <c r="I44" s="3" t="n"/>
      <c r="J44" s="3" t="n"/>
      <c r="K44" s="3" t="n"/>
    </row>
    <row r="45">
      <c r="A45" s="1" t="inlineStr">
        <is>
          <t xml:space="preserve">   Middle hinge will be centered between top and bottom hinges.</t>
        </is>
      </c>
    </row>
    <row r="46">
      <c r="A46" s="1" t="inlineStr">
        <is>
          <t xml:space="preserve">      Door Handle Bore will be 2 1/8" D with a 2 3/8" backset, 44" from the top of the door for 6/8 doors,</t>
        </is>
      </c>
    </row>
    <row r="47">
      <c r="A47" s="1" t="inlineStr">
        <is>
          <t xml:space="preserve">         48"  for 7/0s and 60" for 8/0 doors.</t>
        </is>
      </c>
      <c r="B47" s="1" t="n"/>
    </row>
    <row r="48">
      <c r="A48" s="1" t="inlineStr">
        <is>
          <t xml:space="preserve">   Rough Opening to be 2" over Nominal door size for height and width, </t>
        </is>
      </c>
    </row>
    <row r="49">
      <c r="A49" s="1" t="inlineStr">
        <is>
          <t xml:space="preserve">         EXCEPT width to be 2 1/2"over on Double Doors if a T-Astragal is to be installed.</t>
        </is>
      </c>
    </row>
    <row r="50">
      <c r="A50" s="1" t="inlineStr">
        <is>
          <t xml:space="preserve">   Customer to supply door, and casings if they are required.</t>
        </is>
      </c>
    </row>
    <row r="51">
      <c r="A51" s="1" t="inlineStr">
        <is>
          <t xml:space="preserve">   For Bipass Doors, Interior Jambs and Facia will be supplied.</t>
        </is>
      </c>
    </row>
    <row r="52">
      <c r="A52" s="1" t="inlineStr">
        <is>
          <t xml:space="preserve">   For Bipass Doors, bores will be 2 1/8" diameter 1/2 bore, 44" from the top of the door, </t>
        </is>
      </c>
      <c r="E52" s="14" t="n"/>
    </row>
    <row r="53">
      <c r="A53" s="21" t="inlineStr">
        <is>
          <t xml:space="preserve">        48" for 7/0s and 60" for 8/0 doors.</t>
        </is>
      </c>
    </row>
  </sheetData>
  <conditionalFormatting sqref="A3:E53">
    <cfRule type="expression" priority="1" dxfId="0">
      <formula>MOD(ROW(),2)=1</formula>
    </cfRule>
  </conditionalFormatting>
  <printOptions horizontalCentered="1" verticalCentered="1"/>
  <pageMargins left="0.77" right="0.6" top="1" bottom="0" header="0.5" footer="0"/>
  <pageSetup orientation="portrait"/>
  <headerFooter alignWithMargins="0">
    <oddHeader>&amp;L&amp;"Arial,Bold"A  BETTER  DOOR&amp;C&amp;"Arial,Bold"INTERIOR_x000a_PRE-HUNG DOORS&amp;R&amp;"Arial,Bold"WHOLESALE  PRICES_x000a_EFFECTIVE August 15, 2020 </oddHeader>
    <oddFooter>&amp;C&amp;"Arial,Bold"Page 1&amp;R&amp;D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view="pageLayout" zoomScaleNormal="100" workbookViewId="0">
      <selection activeCell="E36" sqref="A3:E36"/>
    </sheetView>
  </sheetViews>
  <sheetFormatPr baseColWidth="8" defaultColWidth="8.7109375" defaultRowHeight="12.75"/>
  <cols>
    <col width="15.140625" customWidth="1" style="1" min="1" max="1"/>
    <col width="15.7109375" customWidth="1" style="4" min="2" max="2"/>
    <col width="12.7109375" customWidth="1" style="4" min="3" max="3"/>
    <col width="18.42578125" customWidth="1" style="4" min="4" max="4"/>
    <col width="17.7109375" customWidth="1" style="4" min="5" max="5"/>
    <col width="7" customWidth="1" style="4" min="6" max="7"/>
    <col width="7.28515625" customWidth="1" style="4" min="8" max="12"/>
    <col width="8" customWidth="1" style="4" min="13" max="13"/>
    <col width="8.7109375" customWidth="1" style="4" min="14" max="14"/>
    <col width="8.7109375" customWidth="1" style="4" min="15" max="16384"/>
  </cols>
  <sheetData>
    <row r="1" customFormat="1" s="7">
      <c r="A1" s="5" t="inlineStr">
        <is>
          <t>JAMB TYPE</t>
        </is>
      </c>
      <c r="B1" s="6" t="inlineStr">
        <is>
          <t>6/8  SINGLE</t>
        </is>
      </c>
      <c r="C1" s="6" t="inlineStr">
        <is>
          <t>6/8  DOUBLE</t>
        </is>
      </c>
      <c r="D1" s="6" t="inlineStr">
        <is>
          <t>7/0 &amp; 8/0 SINGLE</t>
        </is>
      </c>
      <c r="E1" s="6" t="inlineStr">
        <is>
          <t>7/0 &amp; 8/0 DOUBLE</t>
        </is>
      </c>
    </row>
    <row r="2" customFormat="1" s="7">
      <c r="A2" s="5" t="inlineStr">
        <is>
          <t>AND SIZE</t>
        </is>
      </c>
      <c r="B2" s="6" t="n"/>
      <c r="C2" s="6" t="n"/>
      <c r="D2" s="6" t="n"/>
      <c r="E2" s="6" t="n"/>
    </row>
    <row r="3">
      <c r="A3" s="1" t="inlineStr">
        <is>
          <t>PR PINE 4 9/16</t>
        </is>
      </c>
      <c r="B3" s="2">
        <f>wholesale!B3*2</f>
        <v/>
      </c>
      <c r="C3" s="2">
        <f>wholesale!C3*2</f>
        <v/>
      </c>
      <c r="D3" s="2">
        <f>wholesale!D3*2</f>
        <v/>
      </c>
      <c r="E3" s="2">
        <f>wholesale!E3*2</f>
        <v/>
      </c>
      <c r="F3" s="3" t="n"/>
      <c r="G3" s="3" t="n"/>
      <c r="H3" s="3" t="n"/>
    </row>
    <row r="4">
      <c r="A4" s="1" t="inlineStr">
        <is>
          <t>PR PINE 4 13/16</t>
        </is>
      </c>
      <c r="B4" s="2">
        <f>wholesale!B4*2</f>
        <v/>
      </c>
      <c r="C4" s="2">
        <f>wholesale!C4*2</f>
        <v/>
      </c>
      <c r="D4" s="2">
        <f>wholesale!D5*2</f>
        <v/>
      </c>
      <c r="E4" s="2">
        <f>wholesale!E4*2</f>
        <v/>
      </c>
      <c r="F4" s="3" t="n"/>
      <c r="G4" s="3" t="n"/>
      <c r="H4" s="3" t="n"/>
    </row>
    <row r="5">
      <c r="A5" s="1" t="inlineStr">
        <is>
          <t>PR PINE 5 1/4</t>
        </is>
      </c>
      <c r="B5" s="2">
        <f>wholesale!B5*2</f>
        <v/>
      </c>
      <c r="C5" s="2">
        <f>wholesale!C5*2</f>
        <v/>
      </c>
      <c r="D5" s="2">
        <f>wholesale!D5*2</f>
        <v/>
      </c>
      <c r="E5" s="2">
        <f>wholesale!E5*2</f>
        <v/>
      </c>
      <c r="F5" s="3" t="n"/>
      <c r="G5" s="3" t="n"/>
      <c r="H5" s="3" t="n"/>
    </row>
    <row r="6">
      <c r="A6" s="1" t="inlineStr">
        <is>
          <t>PR PINE 6 1/2</t>
        </is>
      </c>
      <c r="B6" s="2">
        <f>wholesale!B6*2</f>
        <v/>
      </c>
      <c r="C6" s="2">
        <f>wholesale!C6*2</f>
        <v/>
      </c>
      <c r="D6" s="2">
        <f>wholesale!D6*2</f>
        <v/>
      </c>
      <c r="E6" s="2">
        <f>wholesale!E6*2</f>
        <v/>
      </c>
      <c r="F6" s="3" t="n"/>
      <c r="G6" s="3" t="n"/>
      <c r="H6" s="3" t="n"/>
    </row>
    <row r="7">
      <c r="A7" s="1" t="inlineStr">
        <is>
          <t>PR PINE 7 1/4</t>
        </is>
      </c>
      <c r="B7" s="2">
        <f>wholesale!B7*2</f>
        <v/>
      </c>
      <c r="C7" s="2">
        <f>wholesale!C7*2</f>
        <v/>
      </c>
      <c r="D7" s="2">
        <f>wholesale!D7*2</f>
        <v/>
      </c>
      <c r="E7" s="2">
        <f>wholesale!E7*2</f>
        <v/>
      </c>
      <c r="F7" s="3" t="n"/>
      <c r="G7" s="3" t="n"/>
      <c r="H7" s="3" t="n"/>
    </row>
    <row r="8">
      <c r="B8" s="2" t="n"/>
      <c r="C8" s="2" t="n"/>
      <c r="D8" s="2" t="n"/>
      <c r="E8" s="2" t="n"/>
      <c r="F8" s="3" t="n"/>
      <c r="G8" s="3" t="n"/>
      <c r="H8" s="3" t="n"/>
    </row>
    <row r="9">
      <c r="A9" s="8" t="inlineStr">
        <is>
          <t>SG PINE 4 9/16</t>
        </is>
      </c>
      <c r="B9" s="2">
        <f>wholesale!B9*2</f>
        <v/>
      </c>
      <c r="C9" s="2">
        <f>wholesale!C9*2</f>
        <v/>
      </c>
      <c r="D9" s="2">
        <f>wholesale!D9*2</f>
        <v/>
      </c>
      <c r="E9" s="2">
        <f>wholesale!E9*2</f>
        <v/>
      </c>
      <c r="F9" s="3" t="n"/>
      <c r="G9" s="3" t="n"/>
      <c r="H9" s="3" t="n"/>
    </row>
    <row r="10">
      <c r="A10" s="8" t="inlineStr">
        <is>
          <t>SG PINE 4 13/16</t>
        </is>
      </c>
      <c r="B10" s="2">
        <f>wholesale!B10*2</f>
        <v/>
      </c>
      <c r="C10" s="2">
        <f>wholesale!C10*2</f>
        <v/>
      </c>
      <c r="D10" s="2">
        <f>wholesale!D11*2</f>
        <v/>
      </c>
      <c r="E10" s="2">
        <f>wholesale!E10*2</f>
        <v/>
      </c>
      <c r="F10" s="3" t="n"/>
      <c r="G10" s="3" t="n"/>
      <c r="H10" s="3" t="n"/>
    </row>
    <row r="11">
      <c r="A11" s="1" t="inlineStr">
        <is>
          <t>SG PINE 5 1/4</t>
        </is>
      </c>
      <c r="B11" s="2">
        <f>wholesale!B11*2</f>
        <v/>
      </c>
      <c r="C11" s="2">
        <f>wholesale!C11*2</f>
        <v/>
      </c>
      <c r="D11" s="2">
        <f>wholesale!D11*2</f>
        <v/>
      </c>
      <c r="E11" s="2">
        <f>wholesale!E11*2</f>
        <v/>
      </c>
      <c r="F11" s="3" t="n"/>
      <c r="G11" s="3" t="n"/>
      <c r="H11" s="3" t="n"/>
    </row>
    <row r="12">
      <c r="A12" s="1" t="inlineStr">
        <is>
          <t>SG PINE 6 1/2</t>
        </is>
      </c>
      <c r="B12" s="2">
        <f>wholesale!B12*2</f>
        <v/>
      </c>
      <c r="C12" s="2">
        <f>wholesale!C12*2</f>
        <v/>
      </c>
      <c r="D12" s="2">
        <f>wholesale!D12*2</f>
        <v/>
      </c>
      <c r="E12" s="2">
        <f>wholesale!E12*2</f>
        <v/>
      </c>
      <c r="F12" s="3" t="n"/>
      <c r="G12" s="3" t="n"/>
      <c r="H12" s="3" t="n"/>
    </row>
    <row r="13">
      <c r="A13" s="1" t="inlineStr">
        <is>
          <t>SG PINE 7 1/4</t>
        </is>
      </c>
      <c r="B13" s="2">
        <f>wholesale!B13*2</f>
        <v/>
      </c>
      <c r="C13" s="2">
        <f>wholesale!C13*2</f>
        <v/>
      </c>
      <c r="D13" s="2">
        <f>wholesale!D13*2</f>
        <v/>
      </c>
      <c r="E13" s="2">
        <f>wholesale!E13*2</f>
        <v/>
      </c>
      <c r="F13" s="3" t="n"/>
      <c r="G13" s="3" t="n"/>
      <c r="H13" s="3" t="n"/>
    </row>
    <row r="14">
      <c r="B14" s="2" t="n"/>
      <c r="C14" s="2" t="n"/>
      <c r="D14" s="2" t="n"/>
      <c r="E14" s="2" t="n"/>
      <c r="F14" s="3" t="n"/>
      <c r="G14" s="3" t="n"/>
      <c r="H14" s="3" t="n"/>
    </row>
    <row r="15">
      <c r="A15" s="1" t="inlineStr">
        <is>
          <t>VG FIR 4 9/16</t>
        </is>
      </c>
      <c r="B15" s="2">
        <f>wholesale!B15*2</f>
        <v/>
      </c>
      <c r="C15" s="2">
        <f>wholesale!C15*2</f>
        <v/>
      </c>
      <c r="D15" s="2">
        <f>wholesale!D15*2</f>
        <v/>
      </c>
      <c r="E15" s="2">
        <f>wholesale!E15*2</f>
        <v/>
      </c>
      <c r="F15" s="3" t="n"/>
      <c r="G15" s="3" t="n"/>
      <c r="H15" s="3" t="n"/>
    </row>
    <row r="16">
      <c r="A16" s="8" t="inlineStr">
        <is>
          <t>VG FIR 4 13/16</t>
        </is>
      </c>
      <c r="B16" s="2">
        <f>wholesale!B16*2</f>
        <v/>
      </c>
      <c r="C16" s="2">
        <f>wholesale!C16*2</f>
        <v/>
      </c>
      <c r="D16" s="2">
        <f>wholesale!D16*2</f>
        <v/>
      </c>
      <c r="E16" s="2">
        <f>wholesale!E16*2</f>
        <v/>
      </c>
      <c r="F16" s="3" t="n"/>
      <c r="G16" s="3" t="n"/>
      <c r="H16" s="3" t="n"/>
    </row>
    <row r="17">
      <c r="A17" s="1" t="inlineStr">
        <is>
          <t>VG FIR 5 1/4</t>
        </is>
      </c>
      <c r="B17" s="2">
        <f>wholesale!B17*2</f>
        <v/>
      </c>
      <c r="C17" s="2">
        <f>wholesale!C17*2</f>
        <v/>
      </c>
      <c r="D17" s="2">
        <f>wholesale!D17*2</f>
        <v/>
      </c>
      <c r="E17" s="2">
        <f>wholesale!E17*2</f>
        <v/>
      </c>
      <c r="F17" s="3" t="n"/>
      <c r="G17" s="3" t="n"/>
      <c r="H17" s="3" t="n"/>
    </row>
    <row r="18">
      <c r="A18" s="1" t="inlineStr">
        <is>
          <t>VG FIR 7 1/4</t>
        </is>
      </c>
      <c r="B18" s="2">
        <f>wholesale!B18*2</f>
        <v/>
      </c>
      <c r="C18" s="2">
        <f>wholesale!C18*2</f>
        <v/>
      </c>
      <c r="D18" s="2" t="n"/>
      <c r="E18" s="2" t="n"/>
    </row>
    <row r="19">
      <c r="B19" s="2" t="n"/>
      <c r="C19" s="2" t="n"/>
      <c r="D19" s="2" t="n"/>
      <c r="E19" s="2" t="n"/>
    </row>
    <row r="20">
      <c r="A20" s="1" t="inlineStr">
        <is>
          <t>SOL OAK 4 9/16</t>
        </is>
      </c>
      <c r="B20" s="2">
        <f>wholesale!B20*2</f>
        <v/>
      </c>
      <c r="C20" s="2">
        <f>wholesale!C20*2</f>
        <v/>
      </c>
      <c r="D20" s="2">
        <f>wholesale!D20*2</f>
        <v/>
      </c>
      <c r="E20" s="2">
        <f>wholesale!E20*2</f>
        <v/>
      </c>
    </row>
    <row r="21">
      <c r="A21" s="1" t="inlineStr">
        <is>
          <t>SOL OAK 5 1/4</t>
        </is>
      </c>
      <c r="B21" s="2">
        <f>wholesale!B21*2</f>
        <v/>
      </c>
      <c r="C21" s="2">
        <f>wholesale!C21*2</f>
        <v/>
      </c>
      <c r="D21" s="2">
        <f>wholesale!D21*2</f>
        <v/>
      </c>
      <c r="E21" s="2">
        <f>wholesale!E21*2</f>
        <v/>
      </c>
    </row>
    <row r="23">
      <c r="B23" s="6" t="inlineStr">
        <is>
          <t>6/8 BIPASS</t>
        </is>
      </c>
      <c r="C23" s="6" t="inlineStr">
        <is>
          <t>6/8 BIPASS</t>
        </is>
      </c>
      <c r="D23" s="9" t="inlineStr">
        <is>
          <t>7/0 &amp; 8/0 BIPASS</t>
        </is>
      </c>
      <c r="E23" s="9" t="inlineStr">
        <is>
          <t>7/0 &amp; 8/0 BIPASS</t>
        </is>
      </c>
    </row>
    <row r="24">
      <c r="B24" s="6" t="inlineStr">
        <is>
          <t>2 DOOR</t>
        </is>
      </c>
      <c r="C24" s="6" t="inlineStr">
        <is>
          <t>3 DOOR</t>
        </is>
      </c>
      <c r="D24" s="1" t="inlineStr">
        <is>
          <t xml:space="preserve">        2 DOOR</t>
        </is>
      </c>
      <c r="E24" s="1" t="inlineStr">
        <is>
          <t xml:space="preserve">       3 DOOR   </t>
        </is>
      </c>
    </row>
    <row r="25">
      <c r="A25" s="1" t="inlineStr">
        <is>
          <t>PR PINE 4 9/16</t>
        </is>
      </c>
      <c r="B25" s="2">
        <f>wholesale!B25*2</f>
        <v/>
      </c>
      <c r="C25" s="2">
        <f>wholesale!C25*2</f>
        <v/>
      </c>
      <c r="D25" s="2">
        <f>wholesale!D25*2</f>
        <v/>
      </c>
      <c r="E25" s="2">
        <f>wholesale!E25*2</f>
        <v/>
      </c>
    </row>
    <row r="26">
      <c r="A26" s="1" t="inlineStr">
        <is>
          <t>PR PINE 4 13/16</t>
        </is>
      </c>
      <c r="B26" s="2">
        <f>wholesale!B26*2</f>
        <v/>
      </c>
      <c r="C26" s="2">
        <f>wholesale!C26*2</f>
        <v/>
      </c>
      <c r="D26" s="2">
        <f>wholesale!D26*2</f>
        <v/>
      </c>
      <c r="E26" s="2">
        <f>wholesale!E26*2</f>
        <v/>
      </c>
    </row>
    <row r="27">
      <c r="A27" s="1" t="inlineStr">
        <is>
          <t>PR PINE 5 1/4</t>
        </is>
      </c>
      <c r="B27" s="2">
        <f>wholesale!B27*2</f>
        <v/>
      </c>
      <c r="C27" s="2">
        <f>wholesale!C27*2</f>
        <v/>
      </c>
      <c r="D27" s="2">
        <f>wholesale!D27*2</f>
        <v/>
      </c>
      <c r="E27" s="2">
        <f>wholesale!E27*2</f>
        <v/>
      </c>
    </row>
    <row r="28">
      <c r="A28" s="1" t="inlineStr">
        <is>
          <t>PR PINE 6 1/2</t>
        </is>
      </c>
      <c r="B28" s="2">
        <f>wholesale!B28*2</f>
        <v/>
      </c>
      <c r="C28" s="2">
        <f>wholesale!C28*2</f>
        <v/>
      </c>
      <c r="D28" s="2">
        <f>wholesale!D28*2</f>
        <v/>
      </c>
      <c r="E28" s="2">
        <f>wholesale!E28*2</f>
        <v/>
      </c>
    </row>
    <row r="29">
      <c r="A29" s="1" t="inlineStr">
        <is>
          <t>PR PINE 7 1/4</t>
        </is>
      </c>
      <c r="B29" s="2">
        <f>wholesale!B29*2</f>
        <v/>
      </c>
      <c r="C29" s="2">
        <f>wholesale!C29*2</f>
        <v/>
      </c>
      <c r="D29" s="2">
        <f>wholesale!D29*2</f>
        <v/>
      </c>
      <c r="E29" s="2">
        <f>wholesale!E29*2</f>
        <v/>
      </c>
    </row>
    <row r="30">
      <c r="E30" s="2" t="n"/>
    </row>
    <row r="31">
      <c r="A31" s="1" t="inlineStr">
        <is>
          <t>SG PINE 4 9/16</t>
        </is>
      </c>
      <c r="B31" s="2">
        <f>wholesale!B31*2</f>
        <v/>
      </c>
      <c r="C31" s="2">
        <f>wholesale!C31*2</f>
        <v/>
      </c>
      <c r="D31" s="2">
        <f>wholesale!D31*2</f>
        <v/>
      </c>
      <c r="E31" s="2">
        <f>wholesale!E31*2</f>
        <v/>
      </c>
    </row>
    <row r="32">
      <c r="A32" s="1" t="inlineStr">
        <is>
          <t>SG PINE 5 1/4</t>
        </is>
      </c>
      <c r="B32" s="2">
        <f>wholesale!B32*2</f>
        <v/>
      </c>
      <c r="C32" s="2">
        <f>wholesale!C32*2</f>
        <v/>
      </c>
      <c r="D32" s="2">
        <f>wholesale!D32*2</f>
        <v/>
      </c>
      <c r="E32" s="2">
        <f>wholesale!E32*2</f>
        <v/>
      </c>
    </row>
    <row r="33">
      <c r="B33" s="2" t="n"/>
      <c r="C33" s="2" t="n"/>
      <c r="D33" s="2" t="n"/>
      <c r="E33" s="2" t="n"/>
    </row>
    <row r="34">
      <c r="A34" s="1" t="inlineStr">
        <is>
          <t>VG FIR 4 9/16</t>
        </is>
      </c>
      <c r="B34" s="2">
        <f>wholesale!B34*2</f>
        <v/>
      </c>
      <c r="C34" s="2">
        <f>wholesale!C34*2</f>
        <v/>
      </c>
      <c r="D34" s="2">
        <f>wholesale!D34*2</f>
        <v/>
      </c>
      <c r="E34" s="2">
        <f>wholesale!E34*2</f>
        <v/>
      </c>
    </row>
    <row r="35">
      <c r="A35" s="1" t="inlineStr">
        <is>
          <t>VG FIR 5 1/4</t>
        </is>
      </c>
      <c r="B35" s="2">
        <f>wholesale!B35*2</f>
        <v/>
      </c>
      <c r="C35" s="2">
        <f>wholesale!C35*2</f>
        <v/>
      </c>
      <c r="D35" s="2">
        <f>wholesale!D35*2</f>
        <v/>
      </c>
      <c r="E35" s="2">
        <f>wholesale!E35*2</f>
        <v/>
      </c>
    </row>
    <row r="36">
      <c r="A36" s="1" t="inlineStr">
        <is>
          <t>VG FIR 7 1/4</t>
        </is>
      </c>
      <c r="B36" s="2" t="n"/>
      <c r="C36" s="2">
        <f>wholesale!C36*2</f>
        <v/>
      </c>
      <c r="D36" s="2" t="n"/>
      <c r="E36" s="2" t="n"/>
    </row>
    <row r="37">
      <c r="A37" s="1" t="inlineStr">
        <is>
          <t xml:space="preserve"> Bipass with Rectangular Pulls Add:  2-Door  102.00  3-Door (4 Pulls) 204.00        </t>
        </is>
      </c>
      <c r="B37" s="10" t="n"/>
      <c r="C37" s="10" t="n"/>
      <c r="D37" s="10" t="n"/>
      <c r="E37" s="2" t="n"/>
      <c r="F37" s="11" t="n"/>
    </row>
    <row r="38">
      <c r="B38" s="12" t="n"/>
      <c r="C38" s="12" t="n"/>
      <c r="D38" s="12" t="n"/>
      <c r="E38" s="12" t="n"/>
      <c r="F38" s="11" t="n"/>
    </row>
    <row r="39">
      <c r="A39" s="13" t="inlineStr">
        <is>
          <t>STANDARD DOOR SPECIFICATIONS &amp; ITEMS SUPPLIED BY A BETTER DOOR</t>
        </is>
      </c>
      <c r="B39" s="12" t="n"/>
      <c r="C39" s="12" t="n"/>
      <c r="D39" s="12" t="n"/>
      <c r="E39" s="12" t="n"/>
      <c r="F39" s="11" t="n"/>
    </row>
    <row r="40">
      <c r="A40" s="1" t="inlineStr">
        <is>
          <t xml:space="preserve">    Int. Jambs, Stops &amp; 3 ea. 3 1/2" X 3 1/2" x 1/4"R Satin Br  hinges per door for 6/8 and 7/0 doors.</t>
        </is>
      </c>
      <c r="B40" s="12" t="n"/>
      <c r="C40" s="12" t="n"/>
      <c r="D40" s="12" t="n"/>
      <c r="E40" s="12" t="n"/>
      <c r="F40" s="11" t="n"/>
    </row>
    <row r="41">
      <c r="A41" s="1" t="inlineStr">
        <is>
          <t xml:space="preserve">                                    4 ea. 3 1/2" X 3 1/2" x 1/4"R Satin Br  hinges per door for 8/0 doors.</t>
        </is>
      </c>
      <c r="B41" s="12" t="n"/>
      <c r="C41" s="12" t="n"/>
      <c r="D41" s="12" t="n"/>
      <c r="E41" s="12" t="n"/>
      <c r="F41" s="11" t="n"/>
    </row>
    <row r="42">
      <c r="A42" s="1" t="inlineStr">
        <is>
          <t xml:space="preserve">   Double Door prices include Ball Catches, add for Astragal and Flush Bolt.</t>
        </is>
      </c>
      <c r="B42" s="12" t="n"/>
      <c r="C42" s="12" t="n"/>
      <c r="D42" s="12" t="n"/>
      <c r="E42" s="12" t="n"/>
      <c r="F42" s="11" t="n"/>
    </row>
    <row r="43">
      <c r="A43" s="1" t="inlineStr">
        <is>
          <t xml:space="preserve">   Stain Grade Pine and Vertical Grain Fir jambs may be veneer.</t>
        </is>
      </c>
      <c r="B43" s="12" t="n"/>
      <c r="C43" s="12" t="n"/>
      <c r="D43" s="12" t="n"/>
      <c r="E43" s="12" t="n"/>
      <c r="F43" s="11" t="n"/>
    </row>
    <row r="44">
      <c r="A44" s="1" t="inlineStr">
        <is>
          <t xml:space="preserve">   Hinge spacing to be approximately 7" from top of door and 11" from bottom of door. </t>
        </is>
      </c>
      <c r="B44" s="12" t="n"/>
      <c r="C44" s="12" t="n"/>
      <c r="D44" s="1" t="n"/>
      <c r="E44" s="12" t="n"/>
      <c r="F44" s="11" t="n"/>
    </row>
    <row r="45">
      <c r="A45" s="1" t="inlineStr">
        <is>
          <t xml:space="preserve">   Middle hinge will be centered between top and bottom hinges.</t>
        </is>
      </c>
      <c r="B45" s="12" t="n"/>
      <c r="C45" s="12" t="n"/>
      <c r="D45" s="12" t="n"/>
      <c r="E45" s="12" t="n"/>
      <c r="F45" s="11" t="n"/>
    </row>
    <row r="46">
      <c r="A46" s="1" t="inlineStr">
        <is>
          <t xml:space="preserve">      Door Handle Bore will be 2 1/8" D with a 2 3/8" backset, 44" from the top of the door for 6/8 doors,</t>
        </is>
      </c>
      <c r="B46" s="12" t="n"/>
      <c r="C46" s="12" t="n"/>
      <c r="D46" s="12" t="n"/>
      <c r="E46" s="12" t="n"/>
      <c r="F46" s="11" t="n"/>
    </row>
    <row r="47">
      <c r="A47" s="1" t="inlineStr">
        <is>
          <t xml:space="preserve">         48"  for 7/0s and 60" for 8/0 doors.</t>
        </is>
      </c>
      <c r="B47" s="1" t="n"/>
      <c r="C47" s="12" t="n"/>
      <c r="D47" s="12" t="n"/>
      <c r="E47" s="12" t="n"/>
      <c r="F47" s="11" t="n"/>
    </row>
    <row r="48">
      <c r="A48" s="1" t="inlineStr">
        <is>
          <t xml:space="preserve">   Rough Opening to be 2" over Nominal door size for height and width, </t>
        </is>
      </c>
      <c r="B48" s="12" t="n"/>
      <c r="C48" s="12" t="n"/>
      <c r="D48" s="12" t="n"/>
      <c r="E48" s="12" t="n"/>
      <c r="F48" s="11" t="n"/>
    </row>
    <row r="49">
      <c r="A49" s="1" t="inlineStr">
        <is>
          <t xml:space="preserve">         EXCEPT width to be 2 1/2"over on Double Doors if a T-Astragal is to be installed.</t>
        </is>
      </c>
      <c r="B49" s="12" t="n"/>
      <c r="C49" s="12" t="n"/>
      <c r="D49" s="12" t="n"/>
      <c r="E49" s="12" t="n"/>
      <c r="F49" s="11" t="n"/>
    </row>
    <row r="50">
      <c r="A50" s="1" t="inlineStr">
        <is>
          <t xml:space="preserve">   Customer to supply door, and casings if they are required.</t>
        </is>
      </c>
      <c r="B50" s="12" t="n"/>
      <c r="C50" s="12" t="n"/>
      <c r="D50" s="12" t="n"/>
      <c r="E50" s="12" t="n"/>
      <c r="F50" s="11" t="n"/>
    </row>
    <row r="51">
      <c r="A51" s="1" t="inlineStr">
        <is>
          <t xml:space="preserve">   For Bipass Doors, Interior Jambs and Facia will be supplied.</t>
        </is>
      </c>
      <c r="B51" s="12" t="n"/>
      <c r="C51" s="12" t="n"/>
      <c r="D51" s="12" t="n"/>
      <c r="E51" s="12" t="n"/>
      <c r="F51" s="11" t="n"/>
    </row>
    <row r="52">
      <c r="A52" s="1" t="inlineStr">
        <is>
          <t xml:space="preserve">   For Bipass Doors, bores will be 2 1/8" diameter 1/2 bore, 44" from the top of the door, </t>
        </is>
      </c>
      <c r="B52" s="12" t="n"/>
      <c r="C52" s="12" t="n"/>
      <c r="D52" s="12" t="n"/>
      <c r="E52" s="14" t="n"/>
      <c r="F52" s="11" t="n"/>
    </row>
    <row r="53">
      <c r="A53" s="21" t="inlineStr">
        <is>
          <t xml:space="preserve">        48" for 7/0s and 60" for 8/0 doors.</t>
        </is>
      </c>
      <c r="B53" s="12" t="n"/>
      <c r="C53" s="12" t="n"/>
      <c r="D53" s="12" t="n"/>
      <c r="E53" s="12" t="n"/>
      <c r="F53" s="11" t="n"/>
    </row>
    <row r="54">
      <c r="B54" s="12" t="n"/>
      <c r="C54" s="12" t="n"/>
      <c r="D54" s="12" t="n"/>
      <c r="E54" s="12" t="n"/>
    </row>
  </sheetData>
  <conditionalFormatting sqref="A3:E36">
    <cfRule type="expression" priority="1" dxfId="0">
      <formula>MOD(ROW(),2)=1</formula>
    </cfRule>
  </conditionalFormatting>
  <printOptions horizontalCentered="1" verticalCentered="1"/>
  <pageMargins left="0.74" right="0.18" top="0.93" bottom="0.18" header="0.52" footer="0"/>
  <pageSetup orientation="portrait"/>
  <headerFooter alignWithMargins="0">
    <oddHeader>&amp;L&amp;"Arial,Bold"A  BETTER  DOOR_x000a_&amp;C&amp;"Arial,Bold"INTERIOR_x000a_PRE-HUNG DOORS_x000a_&amp;R&amp;"Arial,Bold"RETAIL PRICES_x000a_EFFECTIVE August 15, 2020</oddHeader>
    <oddFooter>&amp;C&amp;"Arial,Bold"Page 1&amp;R&amp;D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Rockafellow</dc:creator>
  <dcterms:created xsi:type="dcterms:W3CDTF">2004-06-16T21:25:00Z</dcterms:created>
  <dcterms:modified xsi:type="dcterms:W3CDTF">2020-07-28T19:34:58Z</dcterms:modified>
  <cp:lastModifiedBy>Margo</cp:lastModifiedBy>
  <cp:lastPrinted>2020-07-28T19:34:17Z</cp:lastPrinted>
</cp:coreProperties>
</file>