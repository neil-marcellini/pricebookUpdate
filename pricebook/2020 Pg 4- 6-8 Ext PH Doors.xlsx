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'wholesale'!$A$1:$G$55</definedName>
    <definedName name="_xlnm.Print_Area" localSheetId="1">'retail'!$A$1:$G$55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11"/>
    </font>
    <font>
      <name val="Helvetica"/>
      <family val="2"/>
      <color rgb="FF454545"/>
      <sz val="12"/>
    </font>
    <font>
      <name val="Helvetica Neue"/>
      <family val="2"/>
      <sz val="12"/>
    </font>
    <font>
      <name val="Arial"/>
      <family val="2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3" fillId="0" borderId="0" applyAlignment="1" applyProtection="1" pivotButton="0" quotePrefix="0" xfId="0">
      <alignment horizontal="left"/>
      <protection locked="0" hidden="0"/>
    </xf>
    <xf numFmtId="2" fontId="0" fillId="0" borderId="0" applyAlignment="1" pivotButton="0" quotePrefix="0" xfId="0">
      <alignment horizontal="center"/>
    </xf>
    <xf numFmtId="0" fontId="3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3" fontId="3" fillId="0" borderId="0" applyAlignment="1" pivotButton="0" quotePrefix="0" xfId="0">
      <alignment horizontal="center"/>
    </xf>
    <xf numFmtId="0" fontId="0" fillId="0" borderId="0" pivotButton="0" quotePrefix="0" xfId="0"/>
    <xf numFmtId="12" fontId="3" fillId="0" borderId="0" pivotButton="0" quotePrefix="0" xfId="0"/>
    <xf numFmtId="14" fontId="3" fillId="0" borderId="0" applyAlignment="1" pivotButton="0" quotePrefix="0" xfId="0">
      <alignment horizontal="left"/>
    </xf>
    <xf numFmtId="14" fontId="0" fillId="0" borderId="0" pivotButton="0" quotePrefix="0" xfId="0"/>
    <xf numFmtId="14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4" fontId="1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3" fontId="2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54"/>
  <sheetViews>
    <sheetView view="pageLayout" zoomScaleNormal="106" workbookViewId="0">
      <selection activeCell="G19" sqref="A1:G19"/>
    </sheetView>
  </sheetViews>
  <sheetFormatPr baseColWidth="8" defaultColWidth="8.77734375" defaultRowHeight="13.2"/>
  <cols>
    <col width="15.109375" customWidth="1" style="7" min="1" max="1"/>
    <col width="11.44140625" customWidth="1" style="12" min="2" max="2"/>
    <col width="12.6640625" customWidth="1" style="12" min="3" max="3"/>
    <col width="12.44140625" customWidth="1" style="12" min="4" max="4"/>
    <col width="13.77734375" customWidth="1" style="12" min="5" max="5"/>
    <col width="12.44140625" customWidth="1" style="12" min="6" max="6"/>
    <col width="13.77734375" customWidth="1" style="12" min="7" max="7"/>
    <col width="7" customWidth="1" style="12" min="8" max="8"/>
    <col width="7.33203125" customWidth="1" style="12" min="9" max="13"/>
    <col width="8" customWidth="1" style="12" min="14" max="14"/>
    <col width="8.77734375" customWidth="1" style="12" min="15" max="16384"/>
  </cols>
  <sheetData>
    <row r="1" customFormat="1" s="21">
      <c r="A1" s="1" t="inlineStr">
        <is>
          <t>JAMB TYPE</t>
        </is>
      </c>
      <c r="B1" s="2" t="inlineStr">
        <is>
          <t>6/8  SINGLE</t>
        </is>
      </c>
      <c r="C1" s="2" t="inlineStr">
        <is>
          <t>6/8  DOUBLE</t>
        </is>
      </c>
      <c r="D1" s="2" t="inlineStr">
        <is>
          <t>6/8 SINGLE</t>
        </is>
      </c>
      <c r="E1" s="2" t="inlineStr">
        <is>
          <t>6/8 SINGLE</t>
        </is>
      </c>
      <c r="F1" s="2" t="inlineStr">
        <is>
          <t>6/8 DOUBLE</t>
        </is>
      </c>
      <c r="G1" s="2" t="inlineStr">
        <is>
          <t>6/8 DOUBLE</t>
        </is>
      </c>
    </row>
    <row r="2" customFormat="1" s="21">
      <c r="A2" s="1" t="inlineStr">
        <is>
          <t>AND SIZE</t>
        </is>
      </c>
      <c r="B2" s="2" t="n"/>
      <c r="C2" s="2" t="n"/>
      <c r="D2" s="4" t="inlineStr">
        <is>
          <t>+ 1 SIDELITE</t>
        </is>
      </c>
      <c r="E2" s="4" t="inlineStr">
        <is>
          <t>+ 2 SIDELITES</t>
        </is>
      </c>
      <c r="F2" s="4" t="inlineStr">
        <is>
          <t>+ 1 SIDELITE</t>
        </is>
      </c>
      <c r="G2" s="4" t="inlineStr">
        <is>
          <t>+ 2 SIDELITES</t>
        </is>
      </c>
    </row>
    <row r="3" customFormat="1" s="21">
      <c r="D3" s="17" t="inlineStr">
        <is>
          <t>**</t>
        </is>
      </c>
      <c r="E3" s="17" t="inlineStr">
        <is>
          <t>**</t>
        </is>
      </c>
      <c r="F3" s="17" t="inlineStr">
        <is>
          <t>**</t>
        </is>
      </c>
      <c r="G3" s="17" t="inlineStr">
        <is>
          <t>**</t>
        </is>
      </c>
    </row>
    <row r="4" ht="16.05" customHeight="1" s="12">
      <c r="A4" s="7" t="inlineStr">
        <is>
          <t>PR PINE 4 5/8</t>
        </is>
      </c>
      <c r="B4" s="18" t="n">
        <v>164</v>
      </c>
      <c r="C4" s="18" t="n">
        <v>364</v>
      </c>
      <c r="D4" s="18" t="n">
        <v>361.5</v>
      </c>
      <c r="E4" s="18" t="n">
        <v>494</v>
      </c>
      <c r="F4" s="18" t="n">
        <v>505.5</v>
      </c>
      <c r="G4" s="19" t="n">
        <v>718</v>
      </c>
      <c r="H4" s="8" t="n"/>
      <c r="I4" s="20" t="n"/>
    </row>
    <row r="5">
      <c r="A5" s="7" t="inlineStr">
        <is>
          <t>PR PINE 5 1/4</t>
        </is>
      </c>
      <c r="B5" s="18" t="n">
        <v>186</v>
      </c>
      <c r="C5" s="18" t="n">
        <v>374.5</v>
      </c>
      <c r="D5" s="18" t="n">
        <v>402.5</v>
      </c>
      <c r="E5" s="18" t="n">
        <v>556.5</v>
      </c>
      <c r="F5" s="18" t="n">
        <v>572</v>
      </c>
      <c r="G5" s="19" t="n">
        <v>807</v>
      </c>
      <c r="H5" s="8" t="n"/>
    </row>
    <row r="6">
      <c r="A6" s="7" t="inlineStr">
        <is>
          <t>PR PINE 6 5/8</t>
        </is>
      </c>
      <c r="B6" s="18" t="n">
        <v>202</v>
      </c>
      <c r="C6" s="18" t="n">
        <v>413</v>
      </c>
      <c r="D6" s="18" t="n">
        <v>442.5</v>
      </c>
      <c r="E6" s="18" t="n">
        <v>641</v>
      </c>
      <c r="F6" s="18" t="n">
        <v>648</v>
      </c>
      <c r="G6" s="19" t="n">
        <v>857.5</v>
      </c>
      <c r="H6" s="8" t="n"/>
    </row>
    <row r="7">
      <c r="A7" s="7" t="inlineStr">
        <is>
          <t>PR PINE 7 1/4</t>
        </is>
      </c>
      <c r="B7" s="18" t="n">
        <v>207.5</v>
      </c>
      <c r="C7" s="18" t="n">
        <v>448</v>
      </c>
      <c r="D7" s="18" t="n">
        <v>477.5</v>
      </c>
      <c r="E7" s="18" t="n">
        <v>661.5</v>
      </c>
      <c r="F7" s="18" t="n">
        <v>667</v>
      </c>
      <c r="G7" s="19" t="n">
        <v>894.5</v>
      </c>
      <c r="H7" s="8" t="n"/>
    </row>
    <row r="8">
      <c r="B8" s="18" t="n"/>
      <c r="C8" s="18" t="n"/>
      <c r="D8" s="18" t="n"/>
      <c r="E8" s="18" t="n"/>
      <c r="F8" s="18" t="n"/>
      <c r="G8" s="19" t="n"/>
      <c r="H8" s="8" t="n"/>
    </row>
    <row r="9">
      <c r="A9" s="7" t="inlineStr">
        <is>
          <t>SG PINE 4 5/8</t>
        </is>
      </c>
      <c r="B9" s="18" t="n">
        <v>217</v>
      </c>
      <c r="C9" s="18" t="n">
        <v>442</v>
      </c>
      <c r="D9" s="18" t="n">
        <v>460.5</v>
      </c>
      <c r="E9" s="18" t="n">
        <v>653.5</v>
      </c>
      <c r="F9" s="18" t="n">
        <v>662</v>
      </c>
      <c r="G9" s="19" t="n">
        <v>864</v>
      </c>
      <c r="H9" s="8" t="n"/>
    </row>
    <row r="10">
      <c r="A10" s="7" t="inlineStr">
        <is>
          <t>SG PINE 5 1/4</t>
        </is>
      </c>
      <c r="B10" s="18" t="n">
        <v>235</v>
      </c>
      <c r="C10" s="18" t="n">
        <v>461</v>
      </c>
      <c r="D10" s="18" t="n">
        <v>489</v>
      </c>
      <c r="E10" s="18" t="n">
        <v>690.5</v>
      </c>
      <c r="F10" s="18" t="n">
        <v>700.5</v>
      </c>
      <c r="G10" s="19" t="n">
        <v>950</v>
      </c>
      <c r="H10" s="8" t="n"/>
    </row>
    <row r="11">
      <c r="A11" s="7" t="inlineStr">
        <is>
          <t>SG PINE 6 5/8</t>
        </is>
      </c>
      <c r="B11" s="18" t="n">
        <v>288</v>
      </c>
      <c r="C11" s="18" t="n">
        <v>510</v>
      </c>
      <c r="D11" s="18" t="n">
        <v>580.5</v>
      </c>
      <c r="E11" s="18" t="n">
        <v>816.5</v>
      </c>
      <c r="F11" s="18" t="n">
        <v>799.5</v>
      </c>
      <c r="G11" s="19" t="n">
        <v>1106.5</v>
      </c>
      <c r="H11" s="8" t="n"/>
    </row>
    <row r="12">
      <c r="A12" s="7" t="inlineStr">
        <is>
          <t>SG PINE 7 1/4</t>
        </is>
      </c>
      <c r="B12" s="18" t="n">
        <v>304</v>
      </c>
      <c r="C12" s="18" t="n">
        <v>530</v>
      </c>
      <c r="D12" s="18" t="n">
        <v>602</v>
      </c>
      <c r="E12" s="18" t="n">
        <v>848.5</v>
      </c>
      <c r="F12" s="18" t="n">
        <v>822</v>
      </c>
      <c r="G12" s="19" t="n">
        <v>1151.5</v>
      </c>
      <c r="H12" s="8" t="n"/>
    </row>
    <row r="13">
      <c r="B13" s="18" t="n"/>
      <c r="C13" s="18" t="n"/>
      <c r="D13" s="18" t="n"/>
      <c r="E13" s="18" t="n"/>
      <c r="F13" s="18" t="n"/>
      <c r="G13" s="19" t="n"/>
      <c r="H13" s="8" t="n"/>
    </row>
    <row r="14">
      <c r="A14" s="7" t="inlineStr">
        <is>
          <t>VG FIR 4 5/8</t>
        </is>
      </c>
      <c r="B14" s="18" t="n">
        <v>320</v>
      </c>
      <c r="C14" s="18" t="n">
        <v>612.5</v>
      </c>
      <c r="D14" s="18" t="n">
        <v>661</v>
      </c>
      <c r="E14" s="18" t="n">
        <v>967.5</v>
      </c>
      <c r="F14" s="18" t="n">
        <v>931.5</v>
      </c>
      <c r="G14" s="19" t="n">
        <v>1283.5</v>
      </c>
      <c r="H14" s="8" t="n"/>
    </row>
    <row r="15">
      <c r="A15" s="7" t="inlineStr">
        <is>
          <t>VG FIR 5 1/4</t>
        </is>
      </c>
      <c r="B15" s="18" t="n">
        <v>367.5</v>
      </c>
      <c r="C15" s="18" t="n">
        <v>750.5</v>
      </c>
      <c r="D15" s="18" t="n">
        <v>739</v>
      </c>
      <c r="E15" s="18" t="n">
        <v>1070</v>
      </c>
      <c r="F15" s="18" t="n">
        <v>1015.5</v>
      </c>
      <c r="G15" s="19" t="n">
        <v>1425.5</v>
      </c>
      <c r="H15" s="8" t="n"/>
    </row>
    <row r="16">
      <c r="A16" s="7" t="inlineStr">
        <is>
          <t>VG FIR 7 1/4</t>
        </is>
      </c>
      <c r="B16" s="18" t="n">
        <v>414</v>
      </c>
      <c r="C16" s="18" t="n">
        <v>795.5</v>
      </c>
      <c r="D16" s="18" t="n">
        <v>826</v>
      </c>
      <c r="E16" s="18" t="n">
        <v>1276</v>
      </c>
      <c r="F16" s="18" t="n">
        <v>1131.5</v>
      </c>
      <c r="G16" s="19" t="n">
        <v>1611</v>
      </c>
      <c r="H16" s="8" t="n"/>
    </row>
    <row r="17">
      <c r="B17" s="18" t="n"/>
      <c r="C17" s="18" t="n"/>
      <c r="D17" s="18" t="n"/>
      <c r="E17" s="18" t="n"/>
      <c r="F17" s="18" t="n"/>
      <c r="G17" s="19" t="n"/>
      <c r="H17" s="8" t="n"/>
    </row>
    <row r="18">
      <c r="A18" s="7" t="inlineStr">
        <is>
          <t>OAK 5 1/4</t>
        </is>
      </c>
      <c r="B18" s="18" t="n">
        <v>430.5</v>
      </c>
      <c r="C18" s="18" t="n">
        <v>735</v>
      </c>
      <c r="D18" s="18" t="n">
        <v>791.5</v>
      </c>
      <c r="E18" s="18" t="n">
        <v>1119</v>
      </c>
      <c r="F18" s="18" t="n">
        <v>1024.5</v>
      </c>
      <c r="G18" s="19" t="n">
        <v>1356</v>
      </c>
      <c r="H18" s="8" t="n"/>
    </row>
    <row r="19">
      <c r="A19" s="7" t="inlineStr">
        <is>
          <t>OAK 7 1/4</t>
        </is>
      </c>
      <c r="B19" s="18" t="n">
        <v>541</v>
      </c>
      <c r="C19" s="18" t="n">
        <v>969.5</v>
      </c>
      <c r="D19" s="18" t="n">
        <v>1033</v>
      </c>
      <c r="E19" s="18" t="n">
        <v>1477</v>
      </c>
      <c r="F19" s="18" t="n">
        <v>1426</v>
      </c>
      <c r="G19" s="19" t="n">
        <v>1762</v>
      </c>
    </row>
    <row r="20" ht="16.05" customHeight="1" s="12">
      <c r="A20" s="7" t="inlineStr">
        <is>
          <t xml:space="preserve">                * *Add  Cost for Commercial Grade or Ball Bearing Hinges to all Door &amp; Sidelite Units</t>
        </is>
      </c>
      <c r="K20" s="20" t="n"/>
    </row>
    <row r="21" customFormat="1" s="7">
      <c r="A21" s="7" t="inlineStr">
        <is>
          <t xml:space="preserve">                 * 2 1/4" ADD $129.50 PER EACH DOOR OR SIDELITE</t>
        </is>
      </c>
      <c r="B21" s="10" t="n"/>
      <c r="C21" s="10" t="n"/>
      <c r="D21" s="10" t="n"/>
      <c r="E21" s="10" t="n"/>
    </row>
    <row r="22" ht="16.05" customHeight="1" s="12">
      <c r="A22" s="21" t="inlineStr">
        <is>
          <t>Composite Upcharge    Single 65.00     Double 85.00</t>
        </is>
      </c>
      <c r="E22" s="7" t="n"/>
      <c r="J22" s="22" t="n"/>
    </row>
    <row r="23">
      <c r="A23" s="23" t="inlineStr">
        <is>
          <t>STANDARD SPECIFICATIONS</t>
        </is>
      </c>
      <c r="D23" s="10" t="n"/>
      <c r="E23" s="7" t="n"/>
    </row>
    <row r="24">
      <c r="A24" s="7" t="inlineStr">
        <is>
          <t xml:space="preserve">A BETTER DOOR to supply Exterior Jambs, Aluminum or Bronze Sill, Door Shoes, </t>
        </is>
      </c>
    </row>
    <row r="25">
      <c r="A25" s="7" t="inlineStr">
        <is>
          <t>Kerft Weatherstripping &amp; 3 ea. 4" x 4" x 1/4"R Hinges per Door,US4 Satin Brass.</t>
        </is>
      </c>
    </row>
    <row r="26"/>
    <row r="27">
      <c r="A27" s="7" t="inlineStr">
        <is>
          <t>Double Door prices include Fir T-Astragal and 2 ea 6" brass flush bolts.</t>
        </is>
      </c>
    </row>
    <row r="28">
      <c r="A28" s="7" t="inlineStr">
        <is>
          <t>Oak T-Astragal and 2 ea 6" flush bolts will be included for Oak Jambs.</t>
        </is>
      </c>
    </row>
    <row r="29"/>
    <row r="30">
      <c r="A30" s="7" t="inlineStr">
        <is>
          <t>Stain Grade Pine and Vertical Grain Fir Jambs may be veneer or engineered material.</t>
        </is>
      </c>
    </row>
    <row r="31"/>
    <row r="32">
      <c r="A32" s="7" t="inlineStr">
        <is>
          <t>Hinge Spacing to be approximately 7" from Top of Door and 11" from Bottom of Door.</t>
        </is>
      </c>
    </row>
    <row r="33">
      <c r="A33" s="7" t="inlineStr">
        <is>
          <t>Middle Hinge will be Centered between Top and Bottom Hinges.</t>
        </is>
      </c>
    </row>
    <row r="34"/>
    <row r="35">
      <c r="A35" s="7" t="inlineStr">
        <is>
          <t>Door Handle Bore will be 2 1/8"D with a 2 3/8" Backset, 44" from the Top of 6/8 Door.</t>
        </is>
      </c>
    </row>
    <row r="36">
      <c r="A36" s="7" t="inlineStr">
        <is>
          <t xml:space="preserve"> 7/0 Handle Bore 48" Down, 8/0 Handle bore 60" Down.</t>
        </is>
      </c>
    </row>
    <row r="37"/>
    <row r="38">
      <c r="A38" s="7" t="inlineStr">
        <is>
          <t>Dead Bolt Bore will be 2 1/8"D, centered 5 1/2" above the Door Handle Bore.</t>
        </is>
      </c>
    </row>
    <row r="39"/>
    <row r="40">
      <c r="A40" s="7" t="inlineStr">
        <is>
          <t xml:space="preserve">Rough Opening to be 2" over Nominal door size for Height and Width,  </t>
        </is>
      </c>
    </row>
    <row r="41">
      <c r="A41" s="13" t="inlineStr">
        <is>
          <t>except Width to be 2 1/2" over on Double Doors if a T-Astragal is to be installed.</t>
        </is>
      </c>
    </row>
    <row r="42">
      <c r="A42" s="13" t="n"/>
    </row>
    <row r="43">
      <c r="A43" s="7" t="inlineStr">
        <is>
          <t>For Single Doors w/1 Sidelite, Rough Opening to be 3 1/2" over Nominal Door + Sidelite Width.</t>
        </is>
      </c>
    </row>
    <row r="44">
      <c r="A44" s="7" t="inlineStr">
        <is>
          <t>For Single Doors w/2 Sidelites, Rough Opening to be 5" over Nominal Door + Sidelites Width.</t>
        </is>
      </c>
    </row>
    <row r="45"/>
    <row r="46">
      <c r="A46" s="7" t="inlineStr">
        <is>
          <t>For Double Doors w/1 Sidelite, Rough Opening to be 4" over Nominal Door + Sidelite Width if</t>
        </is>
      </c>
    </row>
    <row r="47">
      <c r="A47" s="7" t="inlineStr">
        <is>
          <t>a T-Astragal is to be installed.</t>
        </is>
      </c>
    </row>
    <row r="48"/>
    <row r="49">
      <c r="A49" s="7" t="inlineStr">
        <is>
          <t>For Double Doors w/2 Sidelites, Rough Opening to be 5 1/2" over Nominal Door + Sidelites Width if</t>
        </is>
      </c>
    </row>
    <row r="50">
      <c r="A50" s="14" t="inlineStr">
        <is>
          <t>a T-Astragal is to be installed.</t>
        </is>
      </c>
      <c r="B50" s="15" t="n"/>
    </row>
    <row r="51">
      <c r="A51" s="14" t="n"/>
      <c r="B51" s="15" t="n"/>
    </row>
    <row r="52">
      <c r="A52" s="7" t="inlineStr">
        <is>
          <t>Customer to supply door, and casings if required.</t>
        </is>
      </c>
    </row>
    <row r="53">
      <c r="A53" s="16" t="n"/>
    </row>
    <row r="54" ht="13.95" customHeight="1" s="12">
      <c r="D54" s="24" t="inlineStr">
        <is>
          <t>Page 4</t>
        </is>
      </c>
    </row>
  </sheetData>
  <mergeCells count="1">
    <mergeCell ref="A22:D22"/>
  </mergeCells>
  <conditionalFormatting sqref="A1:G19">
    <cfRule type="expression" priority="1" dxfId="0">
      <formula>MOD(ROW(),2)=1</formula>
    </cfRule>
  </conditionalFormatting>
  <printOptions horizontalCentered="1" verticalCentered="1"/>
  <pageMargins left="0.75" right="0" top="1.08" bottom="0.31" header="0.5" footer="0.25"/>
  <pageSetup orientation="portrait"/>
  <headerFooter alignWithMargins="0">
    <oddHeader>&amp;L&amp;"Arial,Bold"A  BETTER  DOOR_x000a_&amp;C&amp;"Arial,Bold"EXTERIOR_x000a_PRE-HUNG_x000a_DOORS&amp;R&amp;"Arial,Bold"WHOLESALE PRICES_x000a_EFFECTIVE August 15 2020_x000a_ 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tabSelected="1" view="pageLayout" topLeftCell="A7" zoomScale="98" zoomScaleNormal="100" zoomScalePageLayoutView="98" workbookViewId="0">
      <selection activeCell="G27" sqref="G27"/>
    </sheetView>
  </sheetViews>
  <sheetFormatPr baseColWidth="8" defaultColWidth="8.77734375" defaultRowHeight="13.2"/>
  <cols>
    <col width="15.109375" customWidth="1" style="7" min="1" max="1"/>
    <col width="11.44140625" customWidth="1" style="12" min="2" max="2"/>
    <col width="14.77734375" customWidth="1" style="12" min="3" max="3"/>
    <col width="12.44140625" customWidth="1" style="12" min="4" max="4"/>
    <col width="13.77734375" customWidth="1" style="12" min="5" max="5"/>
    <col width="12.44140625" customWidth="1" style="12" min="6" max="6"/>
    <col width="13.77734375" customWidth="1" style="12" min="7" max="7"/>
    <col width="4.77734375" customWidth="1" style="12" min="8" max="8"/>
    <col width="15.77734375" customWidth="1" style="12" min="9" max="9"/>
    <col width="7.33203125" customWidth="1" style="12" min="10" max="14"/>
    <col width="8" customWidth="1" style="12" min="15" max="15"/>
    <col width="8.77734375" customWidth="1" style="12" min="16" max="16"/>
    <col width="8.77734375" customWidth="1" style="12" min="17" max="16384"/>
  </cols>
  <sheetData>
    <row r="1" customFormat="1" s="21">
      <c r="A1" s="1" t="inlineStr">
        <is>
          <t>JAMB TYPE</t>
        </is>
      </c>
      <c r="B1" s="2" t="inlineStr">
        <is>
          <t>6/8  SINGLE</t>
        </is>
      </c>
      <c r="C1" s="2" t="inlineStr">
        <is>
          <t>6/8  DOUBLE</t>
        </is>
      </c>
      <c r="D1" s="2" t="inlineStr">
        <is>
          <t>6/8 SINGLE</t>
        </is>
      </c>
      <c r="E1" s="2" t="inlineStr">
        <is>
          <t>6/8 SINGLE</t>
        </is>
      </c>
      <c r="F1" s="2" t="inlineStr">
        <is>
          <t>6/8 DOUBLE</t>
        </is>
      </c>
      <c r="G1" s="2" t="inlineStr">
        <is>
          <t>6/8 DOUBLE</t>
        </is>
      </c>
    </row>
    <row r="2" customFormat="1" s="21">
      <c r="A2" s="1" t="inlineStr">
        <is>
          <t>AND SIZE</t>
        </is>
      </c>
      <c r="B2" s="2" t="n"/>
      <c r="C2" s="2" t="n"/>
      <c r="D2" s="4" t="inlineStr">
        <is>
          <t>+ 1 SIDELITE</t>
        </is>
      </c>
      <c r="E2" s="4" t="inlineStr">
        <is>
          <t>+ 2 SIDELITES</t>
        </is>
      </c>
      <c r="F2" s="4" t="inlineStr">
        <is>
          <t>+ 1 SIDELITE</t>
        </is>
      </c>
      <c r="G2" s="4" t="inlineStr">
        <is>
          <t>+ 2 SIDELITES</t>
        </is>
      </c>
    </row>
    <row r="3" customFormat="1" s="21">
      <c r="D3" s="21" t="inlineStr">
        <is>
          <t>**</t>
        </is>
      </c>
      <c r="E3" s="21" t="inlineStr">
        <is>
          <t>**</t>
        </is>
      </c>
      <c r="F3" s="21" t="inlineStr">
        <is>
          <t>**</t>
        </is>
      </c>
      <c r="G3" s="21" t="inlineStr">
        <is>
          <t>**</t>
        </is>
      </c>
    </row>
    <row r="4" customFormat="1" s="21">
      <c r="A4" s="5" t="inlineStr">
        <is>
          <t>PR PINE 4 5/8</t>
        </is>
      </c>
      <c r="B4" s="6">
        <f>wholesale!B4*2</f>
        <v/>
      </c>
      <c r="C4" s="6">
        <f>wholesale!C4*2</f>
        <v/>
      </c>
      <c r="D4" s="6">
        <f>wholesale!D4*2</f>
        <v/>
      </c>
      <c r="E4" s="6">
        <f>wholesale!E4*2</f>
        <v/>
      </c>
      <c r="F4" s="6">
        <f>wholesale!F4*2</f>
        <v/>
      </c>
      <c r="G4" s="6">
        <f>wholesale!G4*2</f>
        <v/>
      </c>
    </row>
    <row r="5">
      <c r="A5" s="7" t="inlineStr">
        <is>
          <t>PR PINE 5 1/4</t>
        </is>
      </c>
      <c r="B5" s="6">
        <f>wholesale!B5*2</f>
        <v/>
      </c>
      <c r="C5" s="6">
        <f>wholesale!C5*2</f>
        <v/>
      </c>
      <c r="D5" s="6">
        <f>wholesale!D5*2</f>
        <v/>
      </c>
      <c r="E5" s="6">
        <f>wholesale!E5*2</f>
        <v/>
      </c>
      <c r="F5" s="6">
        <f>wholesale!F5*2</f>
        <v/>
      </c>
      <c r="G5" s="6">
        <f>wholesale!G5*2</f>
        <v/>
      </c>
      <c r="H5" s="8" t="n"/>
      <c r="I5" s="8" t="n"/>
    </row>
    <row r="6">
      <c r="A6" s="7" t="inlineStr">
        <is>
          <t>PR PINE 6 5/8</t>
        </is>
      </c>
      <c r="B6" s="6">
        <f>wholesale!B6*2</f>
        <v/>
      </c>
      <c r="C6" s="6">
        <f>wholesale!C6*2</f>
        <v/>
      </c>
      <c r="D6" s="6">
        <f>wholesale!D6*2</f>
        <v/>
      </c>
      <c r="E6" s="6">
        <f>wholesale!E6*2</f>
        <v/>
      </c>
      <c r="F6" s="6">
        <f>wholesale!F6*2</f>
        <v/>
      </c>
      <c r="G6" s="6">
        <f>wholesale!G6*2</f>
        <v/>
      </c>
      <c r="H6" s="8" t="n"/>
      <c r="I6" s="7" t="n"/>
      <c r="J6" s="6" t="n"/>
      <c r="K6" s="6" t="n"/>
      <c r="L6" s="6" t="n"/>
      <c r="M6" s="6" t="n"/>
      <c r="N6" s="6" t="n"/>
      <c r="O6" s="6" t="n"/>
    </row>
    <row r="7">
      <c r="A7" s="7" t="inlineStr">
        <is>
          <t>PR PINE 7 1/4</t>
        </is>
      </c>
      <c r="B7" s="6">
        <f>wholesale!B7*2</f>
        <v/>
      </c>
      <c r="C7" s="6">
        <f>wholesale!C7*2</f>
        <v/>
      </c>
      <c r="D7" s="6">
        <f>wholesale!D7*2</f>
        <v/>
      </c>
      <c r="E7" s="6">
        <f>wholesale!E7*2</f>
        <v/>
      </c>
      <c r="F7" s="6">
        <f>wholesale!F7*2</f>
        <v/>
      </c>
      <c r="G7" s="6">
        <f>wholesale!G7*2</f>
        <v/>
      </c>
      <c r="H7" s="8" t="n"/>
      <c r="I7" s="8" t="n"/>
    </row>
    <row r="8">
      <c r="B8" s="6" t="n"/>
      <c r="C8" s="6" t="n"/>
      <c r="D8" s="6" t="n"/>
      <c r="E8" s="6" t="n"/>
      <c r="F8" s="6" t="n"/>
      <c r="G8" s="6" t="n"/>
      <c r="H8" s="8" t="n"/>
      <c r="I8" s="8" t="n"/>
    </row>
    <row r="9">
      <c r="A9" s="7" t="inlineStr">
        <is>
          <t>SG PINE 4 5/8</t>
        </is>
      </c>
      <c r="B9" s="6">
        <f>wholesale!B9*2</f>
        <v/>
      </c>
      <c r="C9" s="6">
        <f>wholesale!C9*2</f>
        <v/>
      </c>
      <c r="D9" s="6">
        <f>wholesale!D9*2</f>
        <v/>
      </c>
      <c r="E9" s="6">
        <f>wholesale!E9*2</f>
        <v/>
      </c>
      <c r="F9" s="6">
        <f>wholesale!F9*2</f>
        <v/>
      </c>
      <c r="G9" s="6">
        <f>wholesale!G9*2</f>
        <v/>
      </c>
      <c r="H9" s="8" t="n"/>
      <c r="I9" s="8" t="n"/>
    </row>
    <row r="10">
      <c r="A10" s="7" t="inlineStr">
        <is>
          <t>SG PINE 5 1/4</t>
        </is>
      </c>
      <c r="B10" s="6">
        <f>wholesale!B10*2</f>
        <v/>
      </c>
      <c r="C10" s="6">
        <f>wholesale!C10*2</f>
        <v/>
      </c>
      <c r="D10" s="6">
        <f>wholesale!D10*2</f>
        <v/>
      </c>
      <c r="E10" s="6">
        <f>wholesale!E10*2</f>
        <v/>
      </c>
      <c r="F10" s="6">
        <f>wholesale!F10*2</f>
        <v/>
      </c>
      <c r="G10" s="6">
        <f>wholesale!G10*2</f>
        <v/>
      </c>
      <c r="H10" s="8" t="n"/>
      <c r="I10" s="8" t="n"/>
    </row>
    <row r="11">
      <c r="A11" s="7" t="inlineStr">
        <is>
          <t>SG PINE 6 5/8</t>
        </is>
      </c>
      <c r="B11" s="6">
        <f>wholesale!B11*2</f>
        <v/>
      </c>
      <c r="C11" s="6">
        <f>wholesale!C11*2</f>
        <v/>
      </c>
      <c r="D11" s="6">
        <f>wholesale!D11*2</f>
        <v/>
      </c>
      <c r="E11" s="6">
        <f>wholesale!E11*2</f>
        <v/>
      </c>
      <c r="F11" s="6">
        <f>wholesale!F11*2</f>
        <v/>
      </c>
      <c r="G11" s="6">
        <f>wholesale!G11*2</f>
        <v/>
      </c>
      <c r="H11" s="8" t="n"/>
      <c r="I11" s="8" t="n"/>
    </row>
    <row r="12">
      <c r="A12" s="7" t="inlineStr">
        <is>
          <t>SG PINE 7 1/4</t>
        </is>
      </c>
      <c r="B12" s="6">
        <f>wholesale!B12*2</f>
        <v/>
      </c>
      <c r="C12" s="6">
        <f>wholesale!C12*2</f>
        <v/>
      </c>
      <c r="D12" s="6">
        <f>wholesale!D12*2</f>
        <v/>
      </c>
      <c r="E12" s="6">
        <f>wholesale!E12*2</f>
        <v/>
      </c>
      <c r="F12" s="6">
        <f>wholesale!F12*2</f>
        <v/>
      </c>
      <c r="G12" s="6">
        <f>wholesale!G12*2</f>
        <v/>
      </c>
      <c r="H12" s="8" t="n"/>
      <c r="I12" s="8" t="n"/>
    </row>
    <row r="13">
      <c r="B13" s="6" t="n"/>
      <c r="C13" s="6" t="n"/>
      <c r="D13" s="6" t="n"/>
      <c r="E13" s="6" t="n"/>
      <c r="F13" s="6" t="n"/>
      <c r="G13" s="6" t="n"/>
      <c r="H13" s="8" t="n"/>
      <c r="I13" s="8" t="n"/>
    </row>
    <row r="14">
      <c r="A14" s="7" t="inlineStr">
        <is>
          <t>VG FIR 4 5/8</t>
        </is>
      </c>
      <c r="B14" s="6">
        <f>wholesale!B14*2</f>
        <v/>
      </c>
      <c r="C14" s="6">
        <f>wholesale!C14*2</f>
        <v/>
      </c>
      <c r="D14" s="6">
        <f>wholesale!D14*2</f>
        <v/>
      </c>
      <c r="E14" s="6">
        <f>wholesale!E14*2</f>
        <v/>
      </c>
      <c r="F14" s="6">
        <f>wholesale!F14*2</f>
        <v/>
      </c>
      <c r="G14" s="6">
        <f>wholesale!G14*2</f>
        <v/>
      </c>
      <c r="H14" s="8" t="n"/>
      <c r="I14" s="8" t="n"/>
    </row>
    <row r="15">
      <c r="A15" s="7" t="inlineStr">
        <is>
          <t>VG FIR 5 1/4</t>
        </is>
      </c>
      <c r="B15" s="6">
        <f>wholesale!B15*2</f>
        <v/>
      </c>
      <c r="C15" s="6">
        <f>wholesale!C15*2</f>
        <v/>
      </c>
      <c r="D15" s="6">
        <f>wholesale!D15*2</f>
        <v/>
      </c>
      <c r="E15" s="6">
        <f>wholesale!E15*2</f>
        <v/>
      </c>
      <c r="F15" s="6">
        <f>wholesale!F15*2</f>
        <v/>
      </c>
      <c r="G15" s="6">
        <f>wholesale!G15*2</f>
        <v/>
      </c>
      <c r="H15" s="8" t="n"/>
      <c r="I15" s="8" t="n"/>
    </row>
    <row r="16">
      <c r="A16" s="7" t="inlineStr">
        <is>
          <t>VG FIR 7 1/4</t>
        </is>
      </c>
      <c r="B16" s="6">
        <f>wholesale!B16*2</f>
        <v/>
      </c>
      <c r="C16" s="6">
        <f>wholesale!C16*2</f>
        <v/>
      </c>
      <c r="D16" s="6">
        <f>wholesale!D16*2</f>
        <v/>
      </c>
      <c r="E16" s="6">
        <f>wholesale!E16*2</f>
        <v/>
      </c>
      <c r="F16" s="6">
        <f>wholesale!F16*2</f>
        <v/>
      </c>
      <c r="G16" s="6">
        <f>wholesale!G16*2</f>
        <v/>
      </c>
      <c r="H16" s="8" t="n"/>
      <c r="I16" s="8" t="n"/>
    </row>
    <row r="17">
      <c r="B17" s="6" t="n"/>
      <c r="C17" s="6" t="n"/>
      <c r="D17" s="6" t="n"/>
      <c r="E17" s="6" t="n"/>
      <c r="F17" s="6" t="n"/>
      <c r="G17" s="6" t="n"/>
      <c r="H17" s="8" t="n"/>
      <c r="I17" s="8" t="n"/>
    </row>
    <row r="18">
      <c r="A18" s="7" t="inlineStr">
        <is>
          <t>OAK 5 1/4</t>
        </is>
      </c>
      <c r="B18" s="6">
        <f>wholesale!B18*2</f>
        <v/>
      </c>
      <c r="C18" s="6">
        <f>wholesale!C18*2</f>
        <v/>
      </c>
      <c r="D18" s="6">
        <f>wholesale!D18*2</f>
        <v/>
      </c>
      <c r="E18" s="6">
        <f>wholesale!E18*2</f>
        <v/>
      </c>
      <c r="F18" s="6">
        <f>wholesale!F18*2</f>
        <v/>
      </c>
      <c r="G18" s="6">
        <f>wholesale!G18*2</f>
        <v/>
      </c>
      <c r="H18" s="8" t="n"/>
      <c r="I18" s="8" t="n"/>
    </row>
    <row r="19">
      <c r="A19" s="7" t="inlineStr">
        <is>
          <t>OAK 7 1/4</t>
        </is>
      </c>
      <c r="B19" s="6">
        <f>wholesale!B19*2</f>
        <v/>
      </c>
      <c r="C19" s="6">
        <f>wholesale!C19*2</f>
        <v/>
      </c>
      <c r="D19" s="6">
        <f>wholesale!D19*2</f>
        <v/>
      </c>
      <c r="E19" s="6">
        <f>wholesale!E19*2</f>
        <v/>
      </c>
      <c r="F19" s="6">
        <f>wholesale!F19*2</f>
        <v/>
      </c>
      <c r="G19" s="6">
        <f>wholesale!G19*2</f>
        <v/>
      </c>
    </row>
    <row r="20">
      <c r="A20" s="7" t="inlineStr">
        <is>
          <t xml:space="preserve">                * *Add  Cost for Commercial Grade or Ball Bearing Hinges to all Door &amp; Sidelite Units</t>
        </is>
      </c>
      <c r="G20" s="6" t="n"/>
    </row>
    <row r="21" customFormat="1" s="7">
      <c r="A21" s="7" t="inlineStr">
        <is>
          <t xml:space="preserve">                 * 2 1/4" ADD $259.00 PER EACH DOOR OR SIDELITE</t>
        </is>
      </c>
      <c r="B21" s="10" t="n"/>
      <c r="C21" s="10" t="n"/>
      <c r="D21" s="10" t="n"/>
      <c r="E21" s="10" t="n"/>
    </row>
    <row r="22">
      <c r="A22" s="11" t="inlineStr">
        <is>
          <t>Composite Upcharge     Single 130.00     Double 170.00</t>
        </is>
      </c>
      <c r="E22" s="7" t="n"/>
    </row>
    <row r="23">
      <c r="A23" s="25" t="inlineStr">
        <is>
          <t>STANDARD SPECIFICATIONS</t>
        </is>
      </c>
      <c r="B23" s="26" t="n"/>
      <c r="D23" s="10" t="n"/>
      <c r="E23" s="7" t="n"/>
    </row>
    <row r="24">
      <c r="A24" s="7" t="inlineStr">
        <is>
          <t xml:space="preserve">A BETTER DOOR to supply Exterior Jambs, Aluminum or Bronze Sill, Door Shoes, </t>
        </is>
      </c>
    </row>
    <row r="25">
      <c r="A25" s="7" t="inlineStr">
        <is>
          <t>Kerft Weatherstripping &amp; 3 ea. 4" x 4" x 1/4"R Hinges per Door,US4 Satin Brass.</t>
        </is>
      </c>
    </row>
    <row r="27">
      <c r="A27" s="7" t="inlineStr">
        <is>
          <t>Double Door prices include Fir T-Astragal and 2 ea 6" brass flush bolts.</t>
        </is>
      </c>
    </row>
    <row r="28">
      <c r="A28" s="7" t="inlineStr">
        <is>
          <t>Oak T-Astragal and 2 ea 6" flush bolts will be included for Oak Jambs.</t>
        </is>
      </c>
    </row>
    <row r="29" ht="13.2" customHeight="1" s="12"/>
    <row r="30">
      <c r="A30" s="7" t="inlineStr">
        <is>
          <t>Stain Grade Pine and Vertical Grain Fir Jambs may be veneer or engineered material.</t>
        </is>
      </c>
    </row>
    <row r="32">
      <c r="A32" s="7" t="inlineStr">
        <is>
          <t>Hinge Spacing to be approximately 7" from Top of Door and 11" from Bottom of Door.</t>
        </is>
      </c>
    </row>
    <row r="33">
      <c r="A33" s="7" t="inlineStr">
        <is>
          <t>Middle Hinge will be Centered between Top and Bottom Hinges.</t>
        </is>
      </c>
    </row>
    <row r="35">
      <c r="A35" s="7" t="inlineStr">
        <is>
          <t>Door Handle Bore will be 2 1/8"D with a 2 3/8" Backset, 44" from the Top of 6/8 Door.</t>
        </is>
      </c>
    </row>
    <row r="36">
      <c r="A36" s="7" t="inlineStr">
        <is>
          <t xml:space="preserve"> 7/0 Handle Bore 48" Down, 8/0 Handle bore 60" Down.</t>
        </is>
      </c>
    </row>
    <row r="37"/>
    <row r="38">
      <c r="A38" s="7" t="inlineStr">
        <is>
          <t>Dead Bolt Bore will be 2 1/8"D, centered 5 1/2" above the Door Handle Bore.</t>
        </is>
      </c>
    </row>
    <row r="39"/>
    <row r="40">
      <c r="A40" s="7" t="inlineStr">
        <is>
          <t xml:space="preserve">Rough Opening to be 2" over Nominal door size for Height and Width,  </t>
        </is>
      </c>
    </row>
    <row r="41">
      <c r="A41" s="13" t="inlineStr">
        <is>
          <t>except Width to be 2 1/2" over on Double Doors if a T-Astragal is to be installed.</t>
        </is>
      </c>
    </row>
    <row r="42">
      <c r="A42" s="13" t="n"/>
    </row>
    <row r="43">
      <c r="A43" s="7" t="inlineStr">
        <is>
          <t>For Single Doors w/1 Sidelite, Rough Opening to be 3 1/2" over Nominal Door + Sidelite Width.</t>
        </is>
      </c>
    </row>
    <row r="44">
      <c r="A44" s="7" t="inlineStr">
        <is>
          <t>For Single Doors w/2 Sidelites, Rough Opening to be 5" over Nominal Door + Sidelites Width.</t>
        </is>
      </c>
    </row>
    <row r="46">
      <c r="A46" s="7" t="inlineStr">
        <is>
          <t>For Double Doors w/1 Sidelite, Rough Opening to be 4" over Nominal Door + Sidelite Width if</t>
        </is>
      </c>
    </row>
    <row r="47">
      <c r="A47" s="7" t="inlineStr">
        <is>
          <t>a T-Astragal is to be installed.</t>
        </is>
      </c>
    </row>
    <row r="49">
      <c r="A49" s="7" t="inlineStr">
        <is>
          <t>For Double Doors w/2 Sidelites, Rough Opening to be 5 1/2" over Nominal Door + Sidelites Width if</t>
        </is>
      </c>
    </row>
    <row r="50">
      <c r="A50" s="14" t="inlineStr">
        <is>
          <t>a T-Astragal is to be installed.</t>
        </is>
      </c>
      <c r="B50" s="15" t="n"/>
    </row>
    <row r="51">
      <c r="A51" s="14" t="n"/>
      <c r="B51" s="15" t="n"/>
    </row>
    <row r="52">
      <c r="A52" s="7" t="inlineStr">
        <is>
          <t>Customer to supply door, and casings if required.</t>
        </is>
      </c>
    </row>
    <row r="53">
      <c r="A53" s="16" t="n"/>
    </row>
    <row r="55">
      <c r="D55" s="7" t="inlineStr">
        <is>
          <t>Page 4</t>
        </is>
      </c>
    </row>
  </sheetData>
  <mergeCells count="1">
    <mergeCell ref="A22:D22"/>
  </mergeCells>
  <conditionalFormatting sqref="A1:G19">
    <cfRule type="expression" priority="1" dxfId="0">
      <formula>MOD(ROW(),2)=1</formula>
    </cfRule>
  </conditionalFormatting>
  <printOptions horizontalCentered="1" verticalCentered="1"/>
  <pageMargins left="0.75" right="0" top="1.01" bottom="0.5" header="0.5" footer="0.25"/>
  <pageSetup orientation="portrait"/>
  <headerFooter alignWithMargins="0">
    <oddHeader>&amp;L&amp;"Arial,Bold"A  BETTER  DOOR_x000a_&amp;C&amp;"Arial,Bold"EXTERIOR_x000a_PRE-HUNG_x000a_DOORS&amp;R&amp;"Arial,Bold"RETAIL PRICES_x000a_EFFECTIVE August 15 2020_x000a_ 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Marsha</dc:creator>
  <dcterms:created xsi:type="dcterms:W3CDTF">2015-02-07T02:02:46Z</dcterms:created>
  <dcterms:modified xsi:type="dcterms:W3CDTF">2020-07-25T20:31:01Z</dcterms:modified>
  <cp:lastModifiedBy>Margo</cp:lastModifiedBy>
  <cp:lastPrinted>2020-07-25T20:29:40Z</cp:lastPrinted>
</cp:coreProperties>
</file>