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'wholesale'!$A$1:$C$50</definedName>
    <definedName name="_xlnm.Print_Area" localSheetId="1">'retail'!$A$1:$C$50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Helvetica Neue"/>
      <family val="2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0" borderId="0" pivotButton="0" quotePrefix="0" xfId="0"/>
    <xf numFmtId="4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4" fontId="8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4" fontId="7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left"/>
    </xf>
    <xf numFmtId="4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3" fillId="0" borderId="0" pivotButton="0" quotePrefix="0" xfId="0"/>
    <xf numFmtId="0" fontId="2" fillId="0" borderId="1" pivotButton="0" quotePrefix="0" xfId="0"/>
    <xf numFmtId="2" fontId="4" fillId="0" borderId="1" pivotButton="0" quotePrefix="0" xfId="0"/>
    <xf numFmtId="2" fontId="4" fillId="0" borderId="0" pivotButton="0" quotePrefix="0" xfId="0"/>
    <xf numFmtId="4" fontId="7" fillId="0" borderId="1" pivotButton="0" quotePrefix="0" xfId="0"/>
    <xf numFmtId="2" fontId="1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ill>
        <patternFill patternType="lightGray"/>
      </fill>
    </dxf>
    <dxf>
      <fill>
        <patternFill patternType="lightGray"/>
      </fill>
    </dxf>
    <dxf>
      <fill>
        <patternFill patternType="gray125"/>
      </fill>
    </dxf>
    <dxf>
      <fill>
        <patternFill patternType="gray125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S100"/>
  <sheetViews>
    <sheetView zoomScale="115" zoomScaleNormal="115" zoomScalePageLayoutView="115" workbookViewId="0">
      <selection activeCell="A13" sqref="A13"/>
    </sheetView>
  </sheetViews>
  <sheetFormatPr baseColWidth="8" defaultColWidth="8.6640625" defaultRowHeight="13.2"/>
  <cols>
    <col width="70.6640625" customWidth="1" style="1" min="1" max="1"/>
    <col width="14.6640625" customWidth="1" style="26" min="2" max="2"/>
    <col width="14.6640625" customWidth="1" style="27" min="3" max="3"/>
    <col hidden="1" width="12.6640625" customWidth="1" style="32" min="4" max="4"/>
    <col width="14" customWidth="1" style="15" min="5" max="5"/>
    <col width="9.109375" customWidth="1" style="35" min="6" max="6"/>
    <col width="8.6640625" customWidth="1" style="34" min="7" max="7"/>
    <col width="8.6640625" customWidth="1" style="34" min="8" max="16384"/>
  </cols>
  <sheetData>
    <row r="1" customFormat="1" s="6">
      <c r="A1" s="1" t="n"/>
      <c r="B1" s="7" t="inlineStr">
        <is>
          <t>Single</t>
        </is>
      </c>
      <c r="C1" s="8" t="inlineStr">
        <is>
          <t>Double</t>
        </is>
      </c>
      <c r="D1" s="4" t="n"/>
      <c r="E1" s="9" t="n"/>
    </row>
    <row r="2">
      <c r="B2" s="7" t="inlineStr">
        <is>
          <t>Door</t>
        </is>
      </c>
      <c r="C2" s="8" t="inlineStr">
        <is>
          <t>Doors</t>
        </is>
      </c>
      <c r="D2" s="10" t="n"/>
      <c r="E2" s="11" t="n"/>
    </row>
    <row r="3">
      <c r="A3" s="13" t="inlineStr">
        <is>
          <t>Sill and Shoe Options</t>
        </is>
      </c>
      <c r="B3" s="37" t="n"/>
      <c r="C3" s="3" t="n"/>
      <c r="D3" s="10" t="n"/>
      <c r="E3" s="11" t="n"/>
    </row>
    <row r="4">
      <c r="A4" s="13" t="n"/>
      <c r="B4" s="37" t="n"/>
      <c r="C4" s="3" t="n"/>
      <c r="D4" s="10" t="n"/>
      <c r="E4" s="11" t="n"/>
    </row>
    <row r="5" ht="16.2" customHeight="1" s="34">
      <c r="A5" s="1" t="inlineStr">
        <is>
          <t>ADA (Handicap) Sill     SPECIFY LOOSE OR ATTACHED</t>
        </is>
      </c>
      <c r="B5" s="37" t="n">
        <v>16</v>
      </c>
      <c r="C5" s="3" t="n">
        <v>18</v>
      </c>
      <c r="D5" s="10" t="n"/>
      <c r="E5" s="11" t="n"/>
      <c r="F5" s="14" t="n"/>
    </row>
    <row r="6">
      <c r="A6" s="6" t="inlineStr">
        <is>
          <t>Sill,  Brite Dip Gold  (Plus $7.00/Sidelite)</t>
        </is>
      </c>
      <c r="B6" s="37" t="n">
        <v>16</v>
      </c>
      <c r="C6" s="3" t="n">
        <v>23</v>
      </c>
      <c r="D6" s="10" t="n"/>
      <c r="E6" s="11" t="n"/>
    </row>
    <row r="7">
      <c r="A7" s="1" t="inlineStr">
        <is>
          <t xml:space="preserve">Shoe, Brite Dip Gold </t>
        </is>
      </c>
      <c r="B7" s="37" t="n">
        <v>7.5</v>
      </c>
      <c r="C7" s="3" t="n">
        <v>11</v>
      </c>
      <c r="D7" s="10" t="n"/>
      <c r="E7" s="11" t="n"/>
    </row>
    <row r="8">
      <c r="A8" s="6" t="inlineStr">
        <is>
          <t>Prep  (Mortise) for Automatic Door Bottom</t>
        </is>
      </c>
      <c r="B8" s="37" t="n">
        <v>84.5</v>
      </c>
      <c r="C8" s="3" t="n"/>
      <c r="D8" s="10" t="n"/>
      <c r="E8" s="11" t="n"/>
    </row>
    <row r="9">
      <c r="A9" s="6" t="inlineStr">
        <is>
          <t>Supply Automatic Door Bottom up to 3/0</t>
        </is>
      </c>
      <c r="B9" s="37" t="n">
        <v>56.5</v>
      </c>
      <c r="C9" s="3" t="n"/>
      <c r="D9" s="10" t="n"/>
      <c r="E9" s="11" t="n"/>
    </row>
    <row r="10">
      <c r="A10" s="6" t="inlineStr">
        <is>
          <t>Supply Automatic Door Bottom 3/6</t>
        </is>
      </c>
      <c r="B10" s="37" t="n">
        <v>69.5</v>
      </c>
      <c r="C10" s="3" t="n"/>
      <c r="D10" s="10" t="n"/>
      <c r="E10" s="11" t="n"/>
    </row>
    <row r="11">
      <c r="A11" s="6" t="inlineStr">
        <is>
          <t>Oak Threshold and Sill, (Plus $20.00/Sidelite) 4 5/8" Jambs Only</t>
        </is>
      </c>
      <c r="B11" s="37" t="n">
        <v>52.5</v>
      </c>
      <c r="C11" s="3" t="n">
        <v>80.5</v>
      </c>
      <c r="D11" s="10" t="n"/>
      <c r="E11" s="11" t="n"/>
    </row>
    <row r="12">
      <c r="A12" s="6" t="inlineStr">
        <is>
          <t xml:space="preserve">Oak Threshold and Sill,   (Plus $31.00/Sidelite),  &gt; 4 5/8" Jambs </t>
        </is>
      </c>
      <c r="B12" s="37" t="n">
        <v>74.5</v>
      </c>
      <c r="C12" s="3" t="n">
        <v>111</v>
      </c>
      <c r="D12" s="10" t="n"/>
      <c r="E12" s="11" t="n"/>
    </row>
    <row r="13">
      <c r="A13" s="6" t="inlineStr">
        <is>
          <t>Oak Ajustable Sill,   (Plus $20.00/Sidelite)</t>
        </is>
      </c>
      <c r="B13" s="37" t="n">
        <v>44</v>
      </c>
      <c r="C13" s="37" t="n">
        <v>88</v>
      </c>
      <c r="D13" s="10" t="n"/>
      <c r="E13" s="11" t="n"/>
    </row>
    <row r="14">
      <c r="B14" s="37" t="n"/>
      <c r="C14" s="37" t="n"/>
      <c r="D14" s="10" t="n"/>
      <c r="E14" s="11" t="n"/>
    </row>
    <row r="15">
      <c r="A15" s="13" t="inlineStr">
        <is>
          <t>Misc Options</t>
        </is>
      </c>
      <c r="B15" s="37" t="n"/>
      <c r="C15" s="3" t="n"/>
      <c r="D15" s="10" t="n"/>
      <c r="E15" s="11" t="n"/>
    </row>
    <row r="16">
      <c r="A16" s="6" t="inlineStr">
        <is>
          <t>2 1/4" Add $129.50 per each Door or Sidelite</t>
        </is>
      </c>
      <c r="B16" s="37" t="n">
        <v>142.5</v>
      </c>
      <c r="C16" s="3" t="n"/>
      <c r="D16" s="10" t="n"/>
      <c r="E16" s="11" t="n"/>
    </row>
    <row r="17">
      <c r="A17" s="6" t="inlineStr">
        <is>
          <t>Prep for Viewer</t>
        </is>
      </c>
      <c r="B17" s="37" t="n">
        <v>21.5</v>
      </c>
      <c r="C17" s="3" t="n"/>
      <c r="D17" s="10" t="n"/>
      <c r="E17" s="11" t="n"/>
    </row>
    <row r="18">
      <c r="A18" s="6" t="inlineStr">
        <is>
          <t xml:space="preserve">Viewer, Supply and Install, US3, US10B, US26D  </t>
        </is>
      </c>
      <c r="B18" s="37" t="n">
        <v>36</v>
      </c>
      <c r="C18" s="3" t="n"/>
      <c r="E18" s="11" t="n"/>
    </row>
    <row r="19">
      <c r="A19" s="6" t="inlineStr">
        <is>
          <t>Mail slot cut out only</t>
        </is>
      </c>
      <c r="B19" s="37" t="n">
        <v>52</v>
      </c>
      <c r="C19" s="3" t="n"/>
    </row>
    <row r="20">
      <c r="A20" s="1" t="inlineStr">
        <is>
          <t>Lite or Louvre Vent, Install (Supplied by Customer)</t>
        </is>
      </c>
      <c r="B20" s="37" t="n">
        <v>52</v>
      </c>
      <c r="C20" s="3" t="n"/>
      <c r="E20" s="11" t="n"/>
    </row>
    <row r="21">
      <c r="A21" s="1" t="inlineStr">
        <is>
          <t>Pet Door, Cut out only, (Door or specs supplied by customer)</t>
        </is>
      </c>
      <c r="B21" s="37" t="n">
        <v>52</v>
      </c>
      <c r="C21" s="36" t="n"/>
      <c r="E21" s="11" t="n"/>
    </row>
    <row r="22">
      <c r="A22" s="1" t="inlineStr">
        <is>
          <t>Pet Door Cut Out and Install  (Supplied by Customer)</t>
        </is>
      </c>
      <c r="B22" s="37" t="n">
        <v>74.5</v>
      </c>
      <c r="C22" s="36" t="n"/>
      <c r="E22" s="11" t="n"/>
    </row>
    <row r="23">
      <c r="A23" s="1" t="inlineStr">
        <is>
          <t xml:space="preserve">Stucco Molding (Supplied by Customer), Install </t>
        </is>
      </c>
      <c r="B23" s="37" t="n">
        <v>23</v>
      </c>
      <c r="C23" s="3" t="n">
        <v>30.5</v>
      </c>
      <c r="D23" s="10" t="n"/>
      <c r="E23" s="11" t="n"/>
    </row>
    <row r="24">
      <c r="A24" s="6" t="inlineStr">
        <is>
          <t>Custom Mullions for Non-Std Openings   CALL FOR QUOTE per mullion</t>
        </is>
      </c>
      <c r="B24" s="37" t="n">
        <v>77</v>
      </c>
      <c r="C24" s="18" t="inlineStr">
        <is>
          <t>MINIMUM</t>
        </is>
      </c>
      <c r="D24" s="10" t="n"/>
      <c r="E24" s="11" t="n"/>
      <c r="F24" s="18" t="n"/>
    </row>
    <row r="25">
      <c r="A25" s="1" t="inlineStr">
        <is>
          <t>Dutch Doors + Any Needed Custom Woodwork</t>
        </is>
      </c>
      <c r="B25" s="37" t="n">
        <v>96.5</v>
      </c>
      <c r="C25" s="18" t="inlineStr">
        <is>
          <t>MINIMUM</t>
        </is>
      </c>
      <c r="D25" s="10" t="n"/>
      <c r="E25" s="11" t="n"/>
      <c r="F25" s="18" t="n"/>
    </row>
    <row r="26">
      <c r="A26" s="1" t="inlineStr">
        <is>
          <t>FJ Jambs  on all 4 sides</t>
        </is>
      </c>
      <c r="B26" s="19" t="inlineStr">
        <is>
          <t>N/C</t>
        </is>
      </c>
      <c r="C26" s="3" t="n"/>
      <c r="D26" s="10" t="n"/>
      <c r="E26" s="11" t="n"/>
      <c r="F26" s="20" t="n"/>
      <c r="G26" s="21" t="n"/>
      <c r="I26" s="21" t="n"/>
    </row>
    <row r="27">
      <c r="A27" s="1" t="inlineStr">
        <is>
          <t>Mantel or Dentil Shelf, Install</t>
        </is>
      </c>
      <c r="B27" s="37" t="n">
        <v>44</v>
      </c>
      <c r="C27" s="37" t="n">
        <v>88</v>
      </c>
      <c r="D27" s="10" t="n"/>
      <c r="E27" s="11" t="n"/>
      <c r="G27" s="21" t="n"/>
      <c r="I27" s="21" t="n"/>
    </row>
    <row r="28">
      <c r="A28" s="6" t="inlineStr">
        <is>
          <t>Composite and Auralast Frames</t>
        </is>
      </c>
      <c r="B28" s="37" t="n">
        <v>72</v>
      </c>
      <c r="C28" s="3" t="n">
        <v>94</v>
      </c>
      <c r="E28" s="11" t="n"/>
    </row>
    <row r="29">
      <c r="A29" s="6" t="inlineStr">
        <is>
          <t>Double Rabbet Jamb (for Screen or Storm Door)</t>
        </is>
      </c>
      <c r="B29" s="37" t="n">
        <v>69.5</v>
      </c>
      <c r="C29" s="3" t="n"/>
      <c r="E29" s="11" t="n"/>
    </row>
    <row r="30">
      <c r="A30" s="6" t="inlineStr">
        <is>
          <t>Install Customer Supplied Glass</t>
        </is>
      </c>
      <c r="B30" s="37" t="n">
        <v>77</v>
      </c>
      <c r="C30" s="3" t="n"/>
      <c r="E30" s="11" t="n"/>
    </row>
    <row r="31">
      <c r="A31" s="6" t="inlineStr">
        <is>
          <t>Outswing Aluminum Astragal w/ Astragal Cap 6/8 or 8/0 Doors</t>
        </is>
      </c>
      <c r="B31" s="37" t="n"/>
      <c r="C31" s="3" t="n">
        <v>66</v>
      </c>
      <c r="E31" s="11" t="n"/>
    </row>
    <row r="32">
      <c r="A32" s="6" t="n"/>
      <c r="B32" s="37" t="n"/>
      <c r="C32" s="3" t="n"/>
      <c r="E32" s="11" t="n"/>
    </row>
    <row r="33">
      <c r="A33" s="13" t="inlineStr">
        <is>
          <t>Deductions from Standard Charge For:</t>
        </is>
      </c>
      <c r="B33" s="37" t="n"/>
      <c r="C33" s="3" t="n"/>
      <c r="E33" s="11" t="n"/>
    </row>
    <row r="34">
      <c r="A34" s="1" t="inlineStr">
        <is>
          <t>No Sill</t>
        </is>
      </c>
      <c r="B34" s="37" t="n">
        <v>-15</v>
      </c>
      <c r="C34" s="3" t="n">
        <v>-24</v>
      </c>
      <c r="E34" s="11" t="n"/>
    </row>
    <row r="35">
      <c r="A35" s="1" t="inlineStr">
        <is>
          <t>No Shoe</t>
        </is>
      </c>
      <c r="B35" s="37" t="n">
        <v>-5</v>
      </c>
      <c r="C35" s="3" t="n">
        <v>-11</v>
      </c>
      <c r="E35" s="11" t="n"/>
    </row>
    <row r="36">
      <c r="A36" s="1" t="inlineStr">
        <is>
          <t>No Weatherstrip</t>
        </is>
      </c>
      <c r="B36" s="37" t="n">
        <v>-13</v>
      </c>
      <c r="C36" s="3" t="n">
        <v>-24</v>
      </c>
      <c r="E36" s="11" t="n"/>
    </row>
    <row r="37">
      <c r="A37" s="1" t="inlineStr">
        <is>
          <t>No T-Astragal</t>
        </is>
      </c>
      <c r="B37" s="37" t="n"/>
      <c r="C37" s="3" t="n">
        <v>-13</v>
      </c>
      <c r="E37" s="11" t="n"/>
    </row>
    <row r="38">
      <c r="A38" s="1" t="inlineStr">
        <is>
          <t>No Flushbolts, each.</t>
        </is>
      </c>
      <c r="B38" s="37" t="n"/>
      <c r="C38" s="3" t="n">
        <v>-22</v>
      </c>
      <c r="D38" s="10" t="n"/>
    </row>
    <row r="39">
      <c r="B39" s="22" t="n"/>
      <c r="C39" s="23" t="n"/>
      <c r="D39" s="10" t="n"/>
    </row>
    <row r="40">
      <c r="A40" s="13" t="inlineStr">
        <is>
          <t>Hinge Finish Key</t>
        </is>
      </c>
      <c r="B40" s="22" t="n"/>
      <c r="C40" s="24" t="n"/>
      <c r="D40" s="10" t="n"/>
      <c r="E40" s="11" t="n"/>
    </row>
    <row r="41">
      <c r="A41" s="13" t="n"/>
      <c r="B41" s="22" t="n"/>
      <c r="C41" s="24" t="n"/>
      <c r="D41" s="10" t="n"/>
      <c r="E41" s="11" t="n"/>
    </row>
    <row r="42">
      <c r="A42" s="6" t="inlineStr">
        <is>
          <t xml:space="preserve">Bright Brass          US3        Oil Rubbed Bronze   US10B          Polished Chrome      </t>
        </is>
      </c>
      <c r="B42" s="22" t="n"/>
      <c r="C42" s="8" t="inlineStr">
        <is>
          <t>US26D</t>
        </is>
      </c>
      <c r="D42" s="10" t="n"/>
      <c r="E42" s="11" t="n"/>
    </row>
    <row r="43">
      <c r="A43" s="1" t="inlineStr">
        <is>
          <t xml:space="preserve">Satin (Dull) Brass  US4        Satin Nickel               US15            Satin Chrome   </t>
        </is>
      </c>
      <c r="B43" s="22" t="n"/>
      <c r="C43" s="24" t="inlineStr">
        <is>
          <t>US26D</t>
        </is>
      </c>
      <c r="E43" s="11" t="n"/>
    </row>
    <row r="44">
      <c r="A44" s="1" t="inlineStr">
        <is>
          <t>Antique Brass       US5         Antique Nickel          US15A          Stainless Steel,Satin</t>
        </is>
      </c>
      <c r="B44" s="24" t="n"/>
      <c r="C44" s="24" t="inlineStr">
        <is>
          <t>US32D</t>
        </is>
      </c>
      <c r="E44" s="11" t="n"/>
    </row>
    <row r="45">
      <c r="A45" s="6" t="inlineStr">
        <is>
          <t>Black                       L1</t>
        </is>
      </c>
      <c r="B45" s="37" t="n"/>
      <c r="C45" s="36" t="n"/>
      <c r="E45" s="11" t="n"/>
    </row>
    <row r="46">
      <c r="B46" s="37" t="n"/>
      <c r="C46" s="3" t="n"/>
      <c r="D46" s="10" t="n"/>
      <c r="E46" s="11" t="n"/>
    </row>
    <row r="47">
      <c r="A47" s="25" t="n"/>
      <c r="B47" s="37" t="n"/>
      <c r="C47" s="36" t="n"/>
      <c r="D47" s="10" t="n"/>
      <c r="E47" s="11" t="n"/>
    </row>
    <row r="48">
      <c r="B48" s="37" t="n"/>
      <c r="C48" s="36" t="n"/>
      <c r="D48" s="10" t="n"/>
      <c r="E48" s="11" t="n"/>
    </row>
    <row r="49">
      <c r="A49" s="1" t="inlineStr">
        <is>
          <t xml:space="preserve">                                                                                              Page 6</t>
        </is>
      </c>
      <c r="B49" s="37" t="n"/>
      <c r="C49" s="36" t="n"/>
      <c r="D49" s="10" t="n"/>
      <c r="E49" s="11" t="n"/>
    </row>
    <row r="50">
      <c r="B50" s="37" t="n"/>
      <c r="C50" s="36" t="n"/>
      <c r="D50" s="10" t="n"/>
      <c r="E50" s="11" t="n"/>
    </row>
    <row r="51">
      <c r="B51" s="37" t="n"/>
      <c r="C51" s="36" t="n"/>
      <c r="D51" s="10" t="n"/>
      <c r="E51" s="11" t="n"/>
    </row>
    <row r="52">
      <c r="B52" s="37" t="n"/>
      <c r="C52" s="36" t="n"/>
      <c r="D52" s="10" t="n"/>
      <c r="E52" s="11" t="n"/>
    </row>
    <row r="53">
      <c r="D53" s="10" t="n">
        <v>14.5</v>
      </c>
      <c r="E53" s="11" t="n"/>
    </row>
    <row r="54">
      <c r="D54" s="10" t="n">
        <v>19</v>
      </c>
      <c r="E54" s="11" t="n"/>
    </row>
    <row r="55">
      <c r="D55" s="10" t="n">
        <v>9</v>
      </c>
      <c r="E55" s="11" t="n"/>
    </row>
    <row r="56">
      <c r="D56" s="10" t="n"/>
      <c r="E56" s="11" t="n"/>
    </row>
    <row r="57">
      <c r="D57" s="10" t="n">
        <v>85.5</v>
      </c>
      <c r="E57" s="11" t="n"/>
    </row>
    <row r="58">
      <c r="D58" s="10" t="n">
        <v>146</v>
      </c>
      <c r="E58" s="11" t="n"/>
    </row>
    <row r="59">
      <c r="D59" s="10" t="n">
        <v>91.5</v>
      </c>
      <c r="E59" s="11" t="n"/>
    </row>
    <row r="60">
      <c r="D60" s="10" t="n"/>
      <c r="E60" s="11" t="n"/>
    </row>
    <row r="61">
      <c r="D61" s="10" t="n">
        <v>73.5</v>
      </c>
      <c r="E61" s="11" t="n"/>
    </row>
    <row r="62">
      <c r="D62" s="10" t="n"/>
      <c r="E62" s="11" t="n"/>
    </row>
    <row r="63">
      <c r="D63" s="10" t="n"/>
      <c r="E63" s="11" t="n"/>
    </row>
    <row r="64">
      <c r="D64" s="10" t="n"/>
      <c r="E64" s="11" t="n"/>
    </row>
    <row r="65">
      <c r="D65" s="10" t="n"/>
      <c r="E65" s="11" t="n"/>
    </row>
    <row r="66">
      <c r="D66" s="10" t="n"/>
      <c r="E66" s="11" t="n"/>
    </row>
    <row r="67">
      <c r="D67" s="10" t="n"/>
      <c r="E67" s="11" t="n"/>
    </row>
    <row r="68">
      <c r="D68" s="10" t="n"/>
      <c r="E68" s="11" t="n"/>
    </row>
    <row r="69">
      <c r="D69" s="10" t="n"/>
      <c r="E69" s="11" t="n"/>
    </row>
    <row r="70">
      <c r="D70" s="4" t="n"/>
      <c r="E70" s="11" t="n"/>
      <c r="F70" s="28" t="n"/>
    </row>
    <row r="71" customFormat="1" s="20">
      <c r="A71" s="1" t="n"/>
      <c r="B71" s="26" t="n"/>
      <c r="C71" s="27" t="n"/>
      <c r="D71" s="10" t="n">
        <v>25</v>
      </c>
      <c r="E71" s="29" t="n"/>
    </row>
    <row r="72">
      <c r="D72" s="10" t="n"/>
      <c r="E72" s="11" t="n"/>
    </row>
    <row r="73">
      <c r="D73" s="10" t="n"/>
      <c r="E73" s="11" t="n"/>
    </row>
    <row r="74">
      <c r="D74" s="10" t="n"/>
      <c r="E74" s="11" t="n"/>
    </row>
    <row r="75">
      <c r="D75" s="10" t="n">
        <v>73.5</v>
      </c>
      <c r="E75" s="11" t="n"/>
    </row>
    <row r="76">
      <c r="D76" s="10" t="n"/>
      <c r="E76" s="11" t="n"/>
    </row>
    <row r="77">
      <c r="D77" s="10" t="n"/>
      <c r="E77" s="11" t="n"/>
    </row>
    <row r="78">
      <c r="D78" s="10" t="n"/>
      <c r="E78" s="11" t="n"/>
    </row>
    <row r="79">
      <c r="D79" s="10" t="n"/>
      <c r="E79" s="11" t="n"/>
    </row>
    <row r="80">
      <c r="D80" s="10" t="n">
        <v>-26</v>
      </c>
      <c r="E80" s="11" t="n"/>
    </row>
    <row r="81">
      <c r="D81" s="10" t="n">
        <v>-12</v>
      </c>
      <c r="E81" s="11" t="n"/>
    </row>
    <row r="82">
      <c r="D82" s="10" t="n">
        <v>-26</v>
      </c>
      <c r="E82" s="11" t="n"/>
    </row>
    <row r="83">
      <c r="D83" s="10" t="n">
        <v>-14</v>
      </c>
      <c r="E83" s="11" t="n"/>
    </row>
    <row r="84">
      <c r="D84" s="10" t="n">
        <v>-24</v>
      </c>
      <c r="E84" s="11" t="n"/>
    </row>
    <row r="85">
      <c r="D85" s="10" t="n"/>
      <c r="E85" s="11" t="n"/>
    </row>
    <row r="86">
      <c r="D86" s="10" t="n"/>
    </row>
    <row r="87">
      <c r="D87" s="10" t="n"/>
    </row>
    <row r="88">
      <c r="D88" s="4" t="n"/>
      <c r="E88" s="5" t="n"/>
    </row>
    <row r="89">
      <c r="D89" s="4" t="n"/>
      <c r="E89" s="5" t="n"/>
    </row>
    <row r="90">
      <c r="D90" s="4" t="n"/>
      <c r="E90" s="5" t="n"/>
    </row>
    <row r="91">
      <c r="D91" s="10" t="n"/>
      <c r="E91" s="30" t="n"/>
      <c r="F91" s="31" t="n"/>
    </row>
    <row r="92">
      <c r="D92" s="10" t="n"/>
      <c r="E92" s="30" t="n"/>
      <c r="F92" s="31" t="n"/>
    </row>
    <row r="93">
      <c r="D93" s="10" t="n"/>
    </row>
    <row r="94" customFormat="1" s="15">
      <c r="A94" s="1" t="n"/>
      <c r="B94" s="26" t="n"/>
      <c r="C94" s="27" t="n"/>
      <c r="D94" s="10" t="n"/>
      <c r="F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</row>
    <row r="95" customFormat="1" s="15">
      <c r="A95" s="1" t="n"/>
      <c r="B95" s="26" t="n"/>
      <c r="C95" s="27" t="n"/>
      <c r="D95" s="10" t="n"/>
      <c r="F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</row>
    <row r="96" customFormat="1" s="15">
      <c r="A96" s="1" t="n"/>
      <c r="B96" s="26" t="n"/>
      <c r="C96" s="27" t="n"/>
      <c r="D96" s="10" t="n"/>
      <c r="F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</row>
    <row r="97" customFormat="1" s="15">
      <c r="A97" s="1" t="n"/>
      <c r="B97" s="26" t="n"/>
      <c r="C97" s="27" t="n"/>
      <c r="D97" s="10" t="n"/>
      <c r="F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</row>
    <row r="98" customFormat="1" s="15">
      <c r="A98" s="1" t="n"/>
      <c r="B98" s="26" t="n"/>
      <c r="C98" s="27" t="n"/>
      <c r="D98" s="10" t="n"/>
      <c r="F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</row>
    <row r="99" customFormat="1" s="15">
      <c r="A99" s="1" t="n"/>
      <c r="B99" s="26" t="n"/>
      <c r="C99" s="27" t="n"/>
      <c r="D99" s="10" t="n"/>
      <c r="F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</row>
    <row r="100" customFormat="1" s="15">
      <c r="A100" s="1" t="n"/>
      <c r="B100" s="26" t="n"/>
      <c r="C100" s="27" t="n"/>
      <c r="D100" s="10" t="n"/>
      <c r="F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</row>
  </sheetData>
  <conditionalFormatting sqref="A3:C45">
    <cfRule type="expression" priority="1" dxfId="0">
      <formula>MOD(ROW(),2)=1</formula>
    </cfRule>
  </conditionalFormatting>
  <printOptions horizontalCentered="1"/>
  <pageMargins left="0" right="0" top="1.34" bottom="0.46" header="0.54" footer="0.25"/>
  <pageSetup orientation="portrait" scale="105"/>
  <headerFooter alignWithMargins="0">
    <oddHeader>&amp;L&amp;"Arial,Bold"A  BETTER  DOOR_x000a_&amp;C&amp;"Arial,Bold"EXTERIOR _x000a_PRE-HUNG_x000a_DOOR OPTIONS&amp;R&amp;"Arial,Bold"WHOLESALE  PRICES_x000a_EFFECTIVE AUGUST 15, 2020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tabSelected="1" view="pageLayout" topLeftCell="A4" zoomScale="115" zoomScaleNormal="115" zoomScalePageLayoutView="115" workbookViewId="0">
      <selection activeCell="A17" sqref="A17"/>
    </sheetView>
  </sheetViews>
  <sheetFormatPr baseColWidth="8" defaultColWidth="8.6640625" defaultRowHeight="13.2"/>
  <cols>
    <col width="70.6640625" customWidth="1" style="1" min="1" max="1"/>
    <col width="14.88671875" customWidth="1" style="36" min="2" max="2"/>
    <col width="14.6640625" customWidth="1" style="36" min="3" max="3"/>
    <col width="7.44140625" customWidth="1" style="35" min="4" max="4"/>
    <col width="9.109375" customWidth="1" style="35" min="5" max="6"/>
    <col width="8.6640625" customWidth="1" style="34" min="7" max="7"/>
    <col width="8.6640625" customWidth="1" style="34" min="8" max="16384"/>
  </cols>
  <sheetData>
    <row r="1" customFormat="1" s="6">
      <c r="A1" s="1" t="n"/>
      <c r="B1" s="8" t="inlineStr">
        <is>
          <t>Single</t>
        </is>
      </c>
      <c r="C1" s="8" t="inlineStr">
        <is>
          <t>Double</t>
        </is>
      </c>
      <c r="E1" s="1" t="n"/>
    </row>
    <row r="2" customFormat="1" s="6">
      <c r="A2" s="1" t="n"/>
      <c r="B2" s="33" t="inlineStr">
        <is>
          <t>Door</t>
        </is>
      </c>
      <c r="C2" s="33" t="inlineStr">
        <is>
          <t>Doors</t>
        </is>
      </c>
    </row>
    <row r="3">
      <c r="A3" s="13" t="inlineStr">
        <is>
          <t>Sill and Shoe Options</t>
        </is>
      </c>
      <c r="B3" s="3" t="n"/>
      <c r="C3" s="3" t="n"/>
    </row>
    <row r="4">
      <c r="A4" s="13" t="n"/>
      <c r="B4" s="3" t="n"/>
      <c r="C4" s="3" t="n"/>
    </row>
    <row r="5">
      <c r="A5" s="1" t="inlineStr">
        <is>
          <t>ADA (Handicap) Sill  SPECIFY LOOSE OR ATTACHED</t>
        </is>
      </c>
      <c r="B5" s="3">
        <f>wholesale!B5*2</f>
        <v/>
      </c>
      <c r="C5" s="3">
        <f>wholesale!C5*2</f>
        <v/>
      </c>
    </row>
    <row r="6">
      <c r="A6" s="6" t="inlineStr">
        <is>
          <t>Sill,  Brite Dip Gold  (Plus $14.00/Sidelite)</t>
        </is>
      </c>
      <c r="B6" s="3">
        <f>wholesale!B6*2</f>
        <v/>
      </c>
      <c r="C6" s="3">
        <f>wholesale!C6*2</f>
        <v/>
      </c>
    </row>
    <row r="7">
      <c r="A7" s="1" t="inlineStr">
        <is>
          <t xml:space="preserve">Shoe, Brite Dip Gold </t>
        </is>
      </c>
      <c r="B7" s="3">
        <f>wholesale!B7*2</f>
        <v/>
      </c>
      <c r="C7" s="3">
        <f>wholesale!C7*2</f>
        <v/>
      </c>
    </row>
    <row r="8">
      <c r="A8" s="6" t="inlineStr">
        <is>
          <t>Prep  (Mortise) for Automatic Door Bottom</t>
        </is>
      </c>
      <c r="B8" s="3">
        <f>wholesale!B8*2</f>
        <v/>
      </c>
      <c r="C8" s="3" t="n"/>
    </row>
    <row r="9">
      <c r="A9" s="6" t="inlineStr">
        <is>
          <t>Supply Automatic Door Bottom up to 3/0</t>
        </is>
      </c>
      <c r="B9" s="3">
        <f>wholesale!B9*2</f>
        <v/>
      </c>
      <c r="C9" s="3" t="n"/>
    </row>
    <row r="10">
      <c r="A10" s="6" t="inlineStr">
        <is>
          <t>Supply Automatic Door Bottom 3/6</t>
        </is>
      </c>
      <c r="B10" s="3">
        <f>wholesale!B10*2</f>
        <v/>
      </c>
      <c r="C10" s="3" t="n"/>
    </row>
    <row r="11">
      <c r="A11" s="6" t="inlineStr">
        <is>
          <t>Oak Threshold and Sill, (Plus $40.00/Sidelite) 4 5/8" Jambs Only</t>
        </is>
      </c>
      <c r="B11" s="3">
        <f>wholesale!B11*2</f>
        <v/>
      </c>
      <c r="C11" s="3">
        <f>wholesale!C11*2</f>
        <v/>
      </c>
    </row>
    <row r="12">
      <c r="A12" s="6" t="inlineStr">
        <is>
          <t xml:space="preserve">Oak Threshold and Sill,   (Plus $62.00/Sidelite),  &gt; 4 5/8" Jambs </t>
        </is>
      </c>
      <c r="B12" s="3">
        <f>wholesale!B12*2</f>
        <v/>
      </c>
      <c r="C12" s="3">
        <f>wholesale!C12*2</f>
        <v/>
      </c>
    </row>
    <row r="13">
      <c r="A13" s="6" t="inlineStr">
        <is>
          <t>Oak Ajustable Sill,   (Plus $40.00/Sidelite)</t>
        </is>
      </c>
      <c r="B13" s="3">
        <f>wholesale!B13*2</f>
        <v/>
      </c>
      <c r="C13" s="3">
        <f>wholesale!C13*2</f>
        <v/>
      </c>
    </row>
    <row r="14">
      <c r="B14" s="3" t="n"/>
      <c r="C14" s="3" t="n"/>
    </row>
    <row r="15">
      <c r="A15" s="13" t="inlineStr">
        <is>
          <t>Misc Options</t>
        </is>
      </c>
      <c r="B15" s="3" t="n"/>
      <c r="C15" s="3" t="n"/>
    </row>
    <row r="16">
      <c r="A16" s="6" t="inlineStr">
        <is>
          <t xml:space="preserve"> 2 1/4" Add $258.00 per each Door or sidelite</t>
        </is>
      </c>
      <c r="B16" s="3">
        <f>wholesale!B16*2</f>
        <v/>
      </c>
      <c r="C16" s="3" t="n"/>
    </row>
    <row r="17">
      <c r="A17" s="6" t="inlineStr">
        <is>
          <t>Prep for Viewer</t>
        </is>
      </c>
      <c r="B17" s="3">
        <f>wholesale!B17*2</f>
        <v/>
      </c>
      <c r="C17" s="3" t="n"/>
    </row>
    <row r="18">
      <c r="A18" s="6" t="inlineStr">
        <is>
          <t xml:space="preserve">Viewer, Supply and Install, US3, US10B, US26D  </t>
        </is>
      </c>
      <c r="B18" s="3">
        <f>wholesale!B18*2</f>
        <v/>
      </c>
      <c r="C18" s="3" t="n"/>
    </row>
    <row r="19">
      <c r="A19" s="6" t="inlineStr">
        <is>
          <t>Mail Slot cut out only</t>
        </is>
      </c>
      <c r="B19" s="3">
        <f>wholesale!B19*2</f>
        <v/>
      </c>
      <c r="C19" s="3" t="n"/>
    </row>
    <row r="20">
      <c r="A20" s="1" t="inlineStr">
        <is>
          <t>Lite or Louvre Vent, Install (Supplied by Customer)</t>
        </is>
      </c>
      <c r="B20" s="3">
        <f>wholesale!B20*2</f>
        <v/>
      </c>
      <c r="C20" s="3" t="n"/>
    </row>
    <row r="21">
      <c r="A21" s="1" t="inlineStr">
        <is>
          <t>Pet Door, Cut out only, (Door or specs supplied by customer)</t>
        </is>
      </c>
      <c r="B21" s="3">
        <f>wholesale!B21*2</f>
        <v/>
      </c>
      <c r="C21" s="3" t="n"/>
    </row>
    <row r="22">
      <c r="A22" s="1" t="inlineStr">
        <is>
          <t>Pet Door Cut Out and Install  (Supplied by Customer)</t>
        </is>
      </c>
      <c r="B22" s="3">
        <f>wholesale!B22*2</f>
        <v/>
      </c>
      <c r="C22" s="3" t="n"/>
      <c r="D22" s="1" t="n"/>
    </row>
    <row r="23">
      <c r="A23" s="1" t="inlineStr">
        <is>
          <t xml:space="preserve">Stucco Molding (Supplied by Customer), Install </t>
        </is>
      </c>
      <c r="B23" s="3">
        <f>wholesale!B23*2</f>
        <v/>
      </c>
      <c r="C23" s="3">
        <f>wholesale!C23*2</f>
        <v/>
      </c>
      <c r="D23" s="20" t="n"/>
    </row>
    <row r="24">
      <c r="A24" s="6" t="inlineStr">
        <is>
          <t>Custom Mullions for Non-Std Openings   CALL FOR QUOTE per mullion</t>
        </is>
      </c>
      <c r="B24" s="3">
        <f>wholesale!B24*2</f>
        <v/>
      </c>
      <c r="C24" s="3" t="inlineStr">
        <is>
          <t>MINIMUM</t>
        </is>
      </c>
    </row>
    <row r="25">
      <c r="A25" s="1" t="inlineStr">
        <is>
          <t>Dutch Doors + Any Needed Custom Woodwork</t>
        </is>
      </c>
      <c r="B25" s="3">
        <f>wholesale!B25*2</f>
        <v/>
      </c>
      <c r="C25" s="3" t="inlineStr">
        <is>
          <t>MINIMUM</t>
        </is>
      </c>
    </row>
    <row r="26">
      <c r="A26" s="1" t="inlineStr">
        <is>
          <t>FJ Jambs  on all 4 sides</t>
        </is>
      </c>
      <c r="B26" s="37" t="inlineStr">
        <is>
          <t>N/C</t>
        </is>
      </c>
      <c r="C26" s="3" t="n"/>
    </row>
    <row r="27">
      <c r="A27" s="1" t="inlineStr">
        <is>
          <t>Mantel or Dentil Shelf, Install</t>
        </is>
      </c>
      <c r="B27" s="3">
        <f>wholesale!B27*2</f>
        <v/>
      </c>
      <c r="C27" s="3">
        <f>wholesale!C27*2</f>
        <v/>
      </c>
      <c r="G27" s="21" t="n"/>
      <c r="I27" s="21" t="n"/>
    </row>
    <row r="28">
      <c r="A28" s="6" t="inlineStr">
        <is>
          <t>Composite and Auralast Frames</t>
        </is>
      </c>
      <c r="B28" s="3">
        <f>wholesale!B28*2</f>
        <v/>
      </c>
      <c r="C28" s="3">
        <f>wholesale!C28*2</f>
        <v/>
      </c>
      <c r="G28" s="21" t="n"/>
      <c r="I28" s="21" t="n"/>
    </row>
    <row r="29">
      <c r="A29" s="6" t="inlineStr">
        <is>
          <t>Double Rabbet Jamb (for Screen or Storm Door)</t>
        </is>
      </c>
      <c r="B29" s="3">
        <f>wholesale!B29*2</f>
        <v/>
      </c>
      <c r="C29" s="3" t="n"/>
    </row>
    <row r="30">
      <c r="A30" s="6" t="inlineStr">
        <is>
          <t>Install Customer Supplied Glass</t>
        </is>
      </c>
      <c r="B30" s="3">
        <f>wholesale!B30*2</f>
        <v/>
      </c>
      <c r="C30" s="3" t="n"/>
    </row>
    <row r="31">
      <c r="A31" s="6" t="inlineStr">
        <is>
          <t>Outswing Aluminum Astragal w/ Astragal Cap 6/8 or 8/0 Doors</t>
        </is>
      </c>
      <c r="B31" s="3" t="n"/>
      <c r="C31" s="3" t="n">
        <v>120</v>
      </c>
    </row>
    <row r="32">
      <c r="A32" s="6" t="n"/>
      <c r="B32" s="3" t="n"/>
      <c r="C32" s="3" t="n"/>
    </row>
    <row r="33">
      <c r="A33" s="13" t="inlineStr">
        <is>
          <t>Deductions from Standard Charge For:</t>
        </is>
      </c>
      <c r="B33" s="3" t="n"/>
      <c r="C33" s="3" t="n"/>
    </row>
    <row r="34">
      <c r="A34" s="1" t="inlineStr">
        <is>
          <t>No Sill</t>
        </is>
      </c>
      <c r="B34" s="3">
        <f>wholesale!B34*2</f>
        <v/>
      </c>
      <c r="C34" s="3">
        <f>wholesale!C34*2</f>
        <v/>
      </c>
    </row>
    <row r="35">
      <c r="A35" s="1" t="inlineStr">
        <is>
          <t>No Shoe</t>
        </is>
      </c>
      <c r="B35" s="3">
        <f>wholesale!B35*2</f>
        <v/>
      </c>
      <c r="C35" s="3">
        <f>wholesale!C35*2</f>
        <v/>
      </c>
    </row>
    <row r="36">
      <c r="A36" s="1" t="inlineStr">
        <is>
          <t>No Weatherstrip</t>
        </is>
      </c>
      <c r="B36" s="3">
        <f>wholesale!B36*2</f>
        <v/>
      </c>
      <c r="C36" s="3">
        <f>wholesale!C36*2</f>
        <v/>
      </c>
    </row>
    <row r="37">
      <c r="A37" s="1" t="inlineStr">
        <is>
          <t>No T-Astragal</t>
        </is>
      </c>
      <c r="B37" s="3" t="n"/>
      <c r="C37" s="3">
        <f>wholesale!C37*2</f>
        <v/>
      </c>
    </row>
    <row r="38">
      <c r="A38" s="1" t="inlineStr">
        <is>
          <t>No Flushbolts, each.</t>
        </is>
      </c>
      <c r="B38" s="3" t="n"/>
      <c r="C38" s="3">
        <f>wholesale!C38*2</f>
        <v/>
      </c>
    </row>
    <row r="39">
      <c r="B39" s="23" t="n"/>
      <c r="C39" s="23" t="n"/>
    </row>
    <row r="40">
      <c r="A40" s="13" t="inlineStr">
        <is>
          <t>Hinge Finish Key</t>
        </is>
      </c>
      <c r="B40" s="24" t="n"/>
      <c r="C40" s="24" t="n"/>
    </row>
    <row r="41">
      <c r="A41" s="13" t="n"/>
      <c r="B41" s="24" t="n"/>
      <c r="C41" s="24" t="n"/>
    </row>
    <row r="42">
      <c r="A42" s="6" t="inlineStr">
        <is>
          <t xml:space="preserve">Bright Brass          US3        Oil Rubbed Bronze   US10B          Polished Chrome      </t>
        </is>
      </c>
      <c r="B42" s="8" t="inlineStr">
        <is>
          <t>US26</t>
        </is>
      </c>
      <c r="C42" s="24" t="n"/>
      <c r="D42" s="1" t="n"/>
    </row>
    <row r="43">
      <c r="A43" s="1" t="inlineStr">
        <is>
          <t xml:space="preserve">Satin (Dull) Brass  US4        Satin Nickel               US15            Satin Chrome   </t>
        </is>
      </c>
      <c r="B43" s="8" t="inlineStr">
        <is>
          <t>US26D</t>
        </is>
      </c>
      <c r="C43" s="24" t="n"/>
      <c r="D43" s="1" t="n"/>
    </row>
    <row r="44">
      <c r="A44" s="1" t="inlineStr">
        <is>
          <t>Antique Brass       US5         Antique Nickel          US15A          Stainless Steel,Satin</t>
        </is>
      </c>
      <c r="B44" s="8" t="inlineStr">
        <is>
          <t>US32D</t>
        </is>
      </c>
      <c r="C44" s="24" t="n"/>
      <c r="D44" s="1" t="n"/>
    </row>
    <row r="45">
      <c r="A45" s="6" t="inlineStr">
        <is>
          <t>Black                     L1</t>
        </is>
      </c>
      <c r="D45" s="31" t="n"/>
    </row>
    <row r="46">
      <c r="B46" s="3" t="n"/>
      <c r="C46" s="3" t="n"/>
      <c r="D46" s="31" t="n"/>
    </row>
    <row r="47">
      <c r="A47" s="25" t="n"/>
    </row>
    <row r="49">
      <c r="A49" s="1" t="inlineStr">
        <is>
          <t xml:space="preserve">                                                                                              Page 6</t>
        </is>
      </c>
    </row>
    <row r="75">
      <c r="F75" s="28" t="n"/>
    </row>
    <row r="76" customFormat="1" s="20">
      <c r="A76" s="1" t="n"/>
      <c r="B76" s="36" t="n"/>
      <c r="C76" s="36" t="n"/>
      <c r="D76" s="35" t="n"/>
    </row>
    <row r="93">
      <c r="E93" s="1" t="n"/>
    </row>
    <row r="94">
      <c r="E94" s="1" t="n"/>
    </row>
    <row r="95">
      <c r="E95" s="1" t="n"/>
    </row>
    <row r="96">
      <c r="E96" s="31" t="n"/>
      <c r="F96" s="31" t="n"/>
    </row>
    <row r="97">
      <c r="E97" s="31" t="n"/>
      <c r="F97" s="31" t="n"/>
    </row>
  </sheetData>
  <conditionalFormatting sqref="A3:C30 A32:C45 B31:C31">
    <cfRule type="expression" priority="4" dxfId="2">
      <formula>MOD(ROW(),2)=1</formula>
    </cfRule>
  </conditionalFormatting>
  <conditionalFormatting sqref="A31">
    <cfRule type="expression" priority="3" dxfId="2">
      <formula>MOD(ROW(),2)=1</formula>
    </cfRule>
  </conditionalFormatting>
  <conditionalFormatting sqref="A3:C45">
    <cfRule type="expression" priority="2" dxfId="0">
      <formula>MOD(ROW(),2)=1</formula>
    </cfRule>
    <cfRule type="expression" priority="1" dxfId="0">
      <formula>MOD(ROW(),2)=1</formula>
    </cfRule>
  </conditionalFormatting>
  <printOptions horizontalCentered="1"/>
  <pageMargins left="0" right="0" top="1.58" bottom="0.25" header="0.59" footer="0.25"/>
  <pageSetup orientation="portrait"/>
  <headerFooter alignWithMargins="0">
    <oddHeader>&amp;L&amp;"Arial,Bold"A  BETTER  DOOR_x000a_&amp;C&amp;"Arial,Bold"EXTERIOR _x000a_PRE-HUNG_x000a_DOOR OPTIONS&amp;R&amp;"Arial,Bold"RETAIL PRICES_x000a_EFFECTIVE  AUGUST 15, 2020</oddHeader>
    <oddFooter>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Wayen Lawson</dc:creator>
  <dcterms:created xsi:type="dcterms:W3CDTF">2004-06-17T15:01:43Z</dcterms:created>
  <dcterms:modified xsi:type="dcterms:W3CDTF">2020-07-30T03:32:49Z</dcterms:modified>
  <cp:lastModifiedBy>Margo</cp:lastModifiedBy>
  <cp:lastPrinted>2020-07-30T03:27:56Z</cp:lastPrinted>
</cp:coreProperties>
</file>