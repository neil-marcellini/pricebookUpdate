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1" firstSheet="0" activeTab="0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'wholesale'!$A$1:$D$47</definedName>
    <definedName name="_xlnm.Print_Area" localSheetId="1">'retail'!$A$1:$E$48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sz val="14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Helvetica Neue"/>
      <family val="2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50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2" fontId="5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right"/>
    </xf>
    <xf numFmtId="14" fontId="8" fillId="0" borderId="0" applyAlignment="1" pivotButton="0" quotePrefix="0" xfId="0">
      <alignment horizontal="left"/>
    </xf>
    <xf numFmtId="0" fontId="7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right"/>
    </xf>
    <xf numFmtId="0" fontId="0" fillId="2" borderId="0" pivotButton="0" quotePrefix="0" xfId="0"/>
    <xf numFmtId="2" fontId="0" fillId="2" borderId="0" pivotButton="0" quotePrefix="0" xfId="0"/>
    <xf numFmtId="0" fontId="9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2" fontId="5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pivotButton="0" quotePrefix="0" xfId="0"/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1" fillId="0" borderId="0" pivotButton="0" quotePrefix="0" xfId="0"/>
    <xf numFmtId="4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12" fontId="1" fillId="0" borderId="0" pivotButton="0" quotePrefix="0" xfId="0"/>
    <xf numFmtId="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2" fontId="2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right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4">
    <dxf>
      <fill>
        <patternFill patternType="lightGray"/>
      </fill>
    </dxf>
    <dxf>
      <fill>
        <patternFill patternType="gray125"/>
      </fill>
    </dxf>
    <dxf>
      <fill>
        <patternFill patternType="lightGray"/>
      </fill>
    </dxf>
    <dxf>
      <fill>
        <patternFill patternType="gray125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H47"/>
  <sheetViews>
    <sheetView tabSelected="1" showWhiteSpace="0" view="pageLayout" zoomScaleNormal="127" workbookViewId="0">
      <selection activeCell="D37" sqref="A4:D37"/>
    </sheetView>
  </sheetViews>
  <sheetFormatPr baseColWidth="8" defaultColWidth="9.140625" defaultRowHeight="12.75"/>
  <cols>
    <col width="60.7109375" customWidth="1" style="42" min="1" max="1"/>
    <col width="10.7109375" customWidth="1" style="41" min="2" max="3"/>
    <col width="10.28515625" customWidth="1" style="31" min="4" max="4"/>
    <col width="9.140625" customWidth="1" style="43" min="5" max="5"/>
    <col width="9.140625" customWidth="1" style="43" min="6" max="16384"/>
  </cols>
  <sheetData>
    <row r="1" customFormat="1" s="32">
      <c r="A1" s="22" t="n"/>
      <c r="B1" s="23" t="inlineStr">
        <is>
          <t>6/8 DOOR</t>
        </is>
      </c>
      <c r="C1" s="23" t="inlineStr">
        <is>
          <t>7/0 DOOR</t>
        </is>
      </c>
      <c r="D1" s="24" t="inlineStr">
        <is>
          <t>8/0 DOOR</t>
        </is>
      </c>
    </row>
    <row r="2" ht="13.5" customFormat="1" customHeight="1" s="32">
      <c r="A2" s="25" t="inlineStr">
        <is>
          <t>No Matches of Exterior Double Doors</t>
        </is>
      </c>
      <c r="B2" s="26" t="n"/>
      <c r="C2" s="27" t="n"/>
      <c r="D2" s="28" t="n"/>
    </row>
    <row r="3">
      <c r="A3" s="25" t="n"/>
      <c r="B3" s="29" t="n"/>
      <c r="C3" s="30" t="n"/>
    </row>
    <row r="4">
      <c r="A4" s="32" t="inlineStr">
        <is>
          <t>1 3/8" Flush &amp; Molded Doors, HC or SC</t>
        </is>
      </c>
      <c r="B4" s="33" t="n">
        <v>43</v>
      </c>
      <c r="C4" s="34" t="n">
        <v>49</v>
      </c>
      <c r="D4" s="34" t="n">
        <v>56</v>
      </c>
    </row>
    <row r="5">
      <c r="A5" s="35" t="inlineStr">
        <is>
          <t>1 3/8" Stile &amp; Rail Doors</t>
        </is>
      </c>
      <c r="B5" s="33" t="n">
        <v>52</v>
      </c>
      <c r="C5" s="34" t="n">
        <v>56</v>
      </c>
      <c r="D5" s="34" t="n">
        <v>63.5</v>
      </c>
    </row>
    <row r="6">
      <c r="A6" s="35" t="inlineStr">
        <is>
          <t>1 3/4" Flush &amp; Molded, Flush Fiberglass or Steel, SC</t>
        </is>
      </c>
      <c r="B6" s="33" t="n">
        <v>63.5</v>
      </c>
      <c r="C6" s="34" t="n">
        <v>74.5</v>
      </c>
      <c r="D6" s="34" t="n">
        <v>88</v>
      </c>
    </row>
    <row r="7">
      <c r="A7" s="35" t="inlineStr">
        <is>
          <t>1 3/4" Stile &amp; Rail and Fiberglass Entry Doors</t>
        </is>
      </c>
      <c r="B7" s="33" t="n">
        <v>96.5</v>
      </c>
      <c r="C7" s="34" t="n">
        <v>111</v>
      </c>
      <c r="D7" s="34" t="n">
        <v>145.5</v>
      </c>
    </row>
    <row r="8">
      <c r="A8" s="35" t="inlineStr">
        <is>
          <t>Prefinished 1 3/4" Stile &amp; Rail Entry Doors</t>
        </is>
      </c>
      <c r="B8" s="33" t="n">
        <v>145.5</v>
      </c>
      <c r="C8" s="34" t="n">
        <v>168</v>
      </c>
      <c r="D8" s="34" t="n">
        <v>218</v>
      </c>
    </row>
    <row r="9">
      <c r="A9" s="32" t="inlineStr">
        <is>
          <t>Call for details on all prefinished doors</t>
        </is>
      </c>
      <c r="B9" s="36" t="inlineStr">
        <is>
          <t>CALL</t>
        </is>
      </c>
      <c r="C9" s="37" t="inlineStr">
        <is>
          <t>FOR</t>
        </is>
      </c>
      <c r="D9" s="37" t="inlineStr">
        <is>
          <t>QUOTE</t>
        </is>
      </c>
    </row>
    <row r="10">
      <c r="A10" s="25" t="n"/>
      <c r="B10" s="33" t="n"/>
      <c r="C10" s="34" t="n"/>
    </row>
    <row r="11">
      <c r="A11" s="25" t="inlineStr">
        <is>
          <t>MISC. OPTIONS</t>
        </is>
      </c>
      <c r="B11" s="33" t="n"/>
      <c r="C11" s="34" t="n"/>
    </row>
    <row r="12">
      <c r="A12" s="25" t="n"/>
      <c r="B12" s="33" t="n"/>
      <c r="C12" s="34" t="n"/>
    </row>
    <row r="13" ht="16.15" customHeight="1" s="43">
      <c r="A13" s="32" t="inlineStr">
        <is>
          <t>Prep &amp; Install Roller Catches, each</t>
        </is>
      </c>
      <c r="B13" s="33" t="n">
        <v>39.5</v>
      </c>
      <c r="C13" s="34" t="n">
        <v>39.5</v>
      </c>
      <c r="D13" s="31" t="n">
        <v>39.5</v>
      </c>
      <c r="F13" s="44" t="n"/>
    </row>
    <row r="14">
      <c r="A14" s="32" t="inlineStr">
        <is>
          <t>Install 1 3/8" FJ Pine T-Astragal</t>
        </is>
      </c>
      <c r="B14" s="33" t="n">
        <v>39</v>
      </c>
      <c r="C14" s="34" t="n">
        <v>39</v>
      </c>
      <c r="D14" s="34" t="n">
        <v>41</v>
      </c>
    </row>
    <row r="15">
      <c r="A15" s="32" t="inlineStr">
        <is>
          <t>Install 1 3/8" Fir T-Astragal</t>
        </is>
      </c>
      <c r="B15" s="33" t="n">
        <v>56.5</v>
      </c>
      <c r="C15" s="34" t="n">
        <v>56.5</v>
      </c>
      <c r="D15" s="34" t="n">
        <v>63.5</v>
      </c>
    </row>
    <row r="16">
      <c r="A16" s="32" t="inlineStr">
        <is>
          <t>Install 1 3/8" Oak T-Astragal</t>
        </is>
      </c>
      <c r="B16" s="33" t="n">
        <v>74.5</v>
      </c>
      <c r="C16" s="34" t="n">
        <v>74.5</v>
      </c>
      <c r="D16" s="34" t="n">
        <v>80.5</v>
      </c>
    </row>
    <row r="17">
      <c r="A17" s="32" t="inlineStr">
        <is>
          <t>Install 1 3/4" Non-Kerft Fir T-Astragal</t>
        </is>
      </c>
      <c r="B17" s="33" t="n">
        <v>73.5</v>
      </c>
      <c r="C17" s="34" t="n">
        <v>73.5</v>
      </c>
      <c r="D17" s="34" t="n">
        <v>73.5</v>
      </c>
    </row>
    <row r="18">
      <c r="A18" s="32" t="inlineStr">
        <is>
          <t>Install 1 3/4" Kerft Fir T-Astragal</t>
        </is>
      </c>
      <c r="B18" s="33" t="n">
        <v>74.5</v>
      </c>
      <c r="C18" s="34" t="n">
        <v>74.5</v>
      </c>
      <c r="D18" s="34" t="n">
        <v>88</v>
      </c>
    </row>
    <row r="19">
      <c r="A19" s="32" t="inlineStr">
        <is>
          <t>Mortise &amp; Install 6" Flushbolt, each</t>
        </is>
      </c>
      <c r="B19" s="33" t="n">
        <v>41</v>
      </c>
      <c r="C19" s="34" t="n">
        <v>41</v>
      </c>
      <c r="D19" s="34" t="n">
        <v>41</v>
      </c>
    </row>
    <row r="20">
      <c r="A20" s="32" t="inlineStr">
        <is>
          <t>Mortise only for 6" Flushbolt</t>
        </is>
      </c>
      <c r="B20" s="33" t="n">
        <v>23</v>
      </c>
      <c r="C20" s="34" t="n">
        <v>23</v>
      </c>
      <c r="D20" s="34" t="n">
        <v>23</v>
      </c>
    </row>
    <row r="21">
      <c r="A21" s="32" t="inlineStr">
        <is>
          <t>Mortise &amp; Install 12" Extension Flushbolt, each</t>
        </is>
      </c>
      <c r="B21" s="33" t="n">
        <v>88</v>
      </c>
      <c r="C21" s="34" t="n">
        <v>88</v>
      </c>
      <c r="D21" s="34" t="n">
        <v>88</v>
      </c>
    </row>
    <row r="22">
      <c r="A22" s="32" t="inlineStr">
        <is>
          <t>Bore Only for Latch or Deadbolt Lock</t>
        </is>
      </c>
      <c r="B22" s="33" t="n">
        <v>35</v>
      </c>
      <c r="C22" s="34" t="n">
        <v>35</v>
      </c>
      <c r="D22" s="34" t="n">
        <v>35</v>
      </c>
    </row>
    <row r="23">
      <c r="A23" s="32" t="inlineStr">
        <is>
          <t>Rip Door to Special Width - Per Cut</t>
        </is>
      </c>
      <c r="B23" s="33" t="n">
        <v>20</v>
      </c>
      <c r="C23" s="34" t="n">
        <v>20</v>
      </c>
      <c r="D23" s="34" t="n">
        <v>20</v>
      </c>
    </row>
    <row r="24" ht="13.5" customHeight="1" s="43">
      <c r="A24" s="32" t="inlineStr">
        <is>
          <t>Remove Interior Hardware - Hinges &amp; Latch</t>
        </is>
      </c>
      <c r="B24" s="33" t="n">
        <v>9</v>
      </c>
      <c r="C24" s="34" t="n">
        <v>9</v>
      </c>
      <c r="D24" s="34" t="n">
        <v>9</v>
      </c>
    </row>
    <row r="25">
      <c r="A25" s="32" t="inlineStr">
        <is>
          <t>Reinstall Interior Hardware - Hinges &amp; Latch</t>
        </is>
      </c>
      <c r="B25" s="33" t="n">
        <v>11</v>
      </c>
      <c r="C25" s="34" t="n">
        <v>11</v>
      </c>
      <c r="D25" s="34" t="n">
        <v>11</v>
      </c>
    </row>
    <row r="26">
      <c r="A26" s="32" t="inlineStr">
        <is>
          <t>Remove Exterior Hardware - Hinges, Latch &amp; Deadbolt</t>
        </is>
      </c>
      <c r="B26" s="33" t="n">
        <v>12.5</v>
      </c>
      <c r="C26" s="34" t="n">
        <v>12.5</v>
      </c>
      <c r="D26" s="34" t="n">
        <v>12.5</v>
      </c>
    </row>
    <row r="27">
      <c r="A27" s="32" t="inlineStr">
        <is>
          <t>Reinstall Exterior Hardware - Hinges, Latch &amp; Deadbolt</t>
        </is>
      </c>
      <c r="B27" s="33" t="n">
        <v>16</v>
      </c>
      <c r="C27" s="34" t="n">
        <v>16</v>
      </c>
      <c r="D27" s="34" t="n">
        <v>16</v>
      </c>
    </row>
    <row r="28">
      <c r="A28" s="32" t="inlineStr">
        <is>
          <t>Prep for Special Lockset</t>
        </is>
      </c>
      <c r="B28" s="36" t="inlineStr">
        <is>
          <t>CALL</t>
        </is>
      </c>
      <c r="C28" s="37" t="inlineStr">
        <is>
          <t>FOR</t>
        </is>
      </c>
      <c r="D28" s="37" t="inlineStr">
        <is>
          <t>QUOTE</t>
        </is>
      </c>
      <c r="F28" s="36" t="n"/>
      <c r="G28" s="37" t="n"/>
      <c r="H28" s="37" t="n"/>
    </row>
    <row r="29">
      <c r="A29" s="32" t="inlineStr">
        <is>
          <t>Mortise for Baldwin or Emtek Lockset</t>
        </is>
      </c>
      <c r="B29" s="33" t="n">
        <v>131</v>
      </c>
      <c r="C29" s="34" t="n">
        <v>131</v>
      </c>
      <c r="D29" s="34" t="n">
        <v>131</v>
      </c>
    </row>
    <row r="30">
      <c r="A30" s="32" t="inlineStr">
        <is>
          <t>Match Special Custom Doors</t>
        </is>
      </c>
      <c r="B30" s="36" t="inlineStr">
        <is>
          <t>CALL</t>
        </is>
      </c>
      <c r="C30" s="37" t="inlineStr">
        <is>
          <t>FOR</t>
        </is>
      </c>
      <c r="D30" s="37" t="inlineStr">
        <is>
          <t>QUOTE</t>
        </is>
      </c>
      <c r="F30" s="36" t="n"/>
      <c r="G30" s="37" t="n"/>
      <c r="H30" s="37" t="n"/>
    </row>
    <row r="31">
      <c r="A31" s="32" t="inlineStr">
        <is>
          <t>Mortise for Hinges - HC &amp; SC Flush &amp; Molded Doors</t>
        </is>
      </c>
      <c r="B31" s="33" t="n">
        <v>23</v>
      </c>
      <c r="C31" s="34" t="n">
        <v>23</v>
      </c>
      <c r="D31" s="34" t="n">
        <v>23</v>
      </c>
    </row>
    <row r="32">
      <c r="A32" s="32" t="inlineStr">
        <is>
          <t>Mortise for Hinges,1 3/8 Stile &amp; Rail Doors</t>
        </is>
      </c>
      <c r="B32" s="33" t="n">
        <v>30.5</v>
      </c>
      <c r="C32" s="34" t="n">
        <v>30.5</v>
      </c>
      <c r="D32" s="37" t="n">
        <v>30.5</v>
      </c>
    </row>
    <row r="33">
      <c r="A33" s="32" t="inlineStr">
        <is>
          <t>Mortise for Hinges,1 3/4 Stile &amp; Rail Doors</t>
        </is>
      </c>
      <c r="B33" s="33" t="n">
        <v>59.5</v>
      </c>
      <c r="C33" s="34" t="n">
        <v>59.5</v>
      </c>
      <c r="D33" s="34" t="n">
        <v>59.5</v>
      </c>
    </row>
    <row r="34">
      <c r="A34" s="32" t="inlineStr">
        <is>
          <t>Size &amp; Bevel Door up to 1/4"</t>
        </is>
      </c>
      <c r="B34" s="33" t="n">
        <v>18</v>
      </c>
      <c r="C34" s="34" t="n">
        <v>18</v>
      </c>
      <c r="D34" s="37" t="n">
        <v>18</v>
      </c>
    </row>
    <row r="35">
      <c r="A35" s="32" t="inlineStr">
        <is>
          <t>Mortise for Barn Door Guide</t>
        </is>
      </c>
      <c r="B35" s="33" t="n">
        <v>84.5</v>
      </c>
      <c r="C35" s="34" t="n">
        <v>84.5</v>
      </c>
      <c r="D35" s="34" t="n">
        <v>84.5</v>
      </c>
    </row>
    <row r="36" ht="16.5" customHeight="1" s="43">
      <c r="A36" s="32" t="inlineStr">
        <is>
          <t>Door Disposal Fee *</t>
        </is>
      </c>
      <c r="B36" s="33" t="n">
        <v>8.5</v>
      </c>
      <c r="C36" s="34" t="n">
        <v>8.5</v>
      </c>
      <c r="D36" s="34" t="n">
        <v>9.5</v>
      </c>
    </row>
    <row r="37" ht="17.25" customFormat="1" customHeight="1" s="45">
      <c r="A37" s="32" t="inlineStr">
        <is>
          <t>*Door disposal will be charged unless otherwise noted on order</t>
        </is>
      </c>
      <c r="B37" s="38" t="n"/>
      <c r="C37" s="38" t="n"/>
      <c r="D37" s="39" t="n"/>
    </row>
    <row r="38">
      <c r="A38" s="40" t="n"/>
    </row>
    <row r="39"/>
    <row r="40"/>
    <row r="41"/>
    <row r="42"/>
    <row r="43"/>
    <row r="44"/>
    <row r="45"/>
    <row r="46"/>
    <row r="47">
      <c r="A47" s="32" t="inlineStr">
        <is>
          <t xml:space="preserve">                                                                                                Page 8</t>
        </is>
      </c>
    </row>
  </sheetData>
  <conditionalFormatting sqref="A4:D37">
    <cfRule type="expression" priority="1" dxfId="0">
      <formula>MOD(ROW(),2)=1</formula>
    </cfRule>
  </conditionalFormatting>
  <printOptions horizontalCentered="1" verticalCentered="1"/>
  <pageMargins left="0" right="0" top="1" bottom="1" header="0.5" footer="0.5"/>
  <pageSetup orientation="portrait"/>
  <headerFooter alignWithMargins="0">
    <oddHeader>&amp;L&amp;"Arial,Bold"A  BETTER  DOOR_x000a_&amp;C&amp;"Arial,Bold"MATCHING_x000a_INTERIOR AND EXTERIOR_x000a_DOORS_x000a_&amp;R&amp;"Arial,Bold" WHOLESALE PRICES_x000a_EFFECTIVE  August  15, 2020 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view="pageLayout" topLeftCell="A16" zoomScaleNormal="115" workbookViewId="0">
      <selection activeCell="E37" sqref="A2:E37"/>
    </sheetView>
  </sheetViews>
  <sheetFormatPr baseColWidth="8" defaultColWidth="9.140625" defaultRowHeight="12.75"/>
  <cols>
    <col width="60.7109375" customWidth="1" style="42" min="1" max="1"/>
    <col width="10.7109375" customWidth="1" style="41" min="2" max="2"/>
    <col width="10.7109375" customWidth="1" style="48" min="3" max="3"/>
    <col width="10.7109375" customWidth="1" style="31" min="4" max="4"/>
    <col width="9.140625" customWidth="1" style="43" min="5" max="5"/>
    <col width="9.140625" customWidth="1" style="43" min="6" max="16384"/>
  </cols>
  <sheetData>
    <row r="1" customFormat="1" s="32">
      <c r="A1" s="22" t="n"/>
      <c r="B1" s="23" t="inlineStr">
        <is>
          <t>6/8 DOOR</t>
        </is>
      </c>
      <c r="C1" s="16" t="inlineStr">
        <is>
          <t>7/0 DOOR</t>
        </is>
      </c>
      <c r="D1" s="24" t="inlineStr">
        <is>
          <t>8/0 DOOR</t>
        </is>
      </c>
    </row>
    <row r="2" customFormat="1" s="32">
      <c r="A2" s="25" t="inlineStr">
        <is>
          <t>No Matches of Exterior Double Doors</t>
        </is>
      </c>
      <c r="B2" s="46" t="n"/>
      <c r="C2" s="47" t="n"/>
      <c r="D2" s="28" t="n"/>
      <c r="E2" s="32" t="n"/>
    </row>
    <row r="3">
      <c r="A3" s="25" t="n"/>
      <c r="B3" s="41" t="n"/>
      <c r="C3" s="48" t="n"/>
      <c r="D3" s="31" t="n"/>
    </row>
    <row r="4" customFormat="1" s="18">
      <c r="A4" s="32" t="inlineStr">
        <is>
          <t>1 3/8" Flush &amp; Molded Doors, HC or SC</t>
        </is>
      </c>
      <c r="B4" s="49">
        <f>(wholesale!B4)*2</f>
        <v/>
      </c>
      <c r="C4" s="49">
        <f>(wholesale!C4)*2</f>
        <v/>
      </c>
      <c r="D4" s="49">
        <f>(wholesale!D4)*2</f>
        <v/>
      </c>
    </row>
    <row r="5">
      <c r="A5" s="35" t="inlineStr">
        <is>
          <t>1 3/8" Stile &amp; Rail Doors</t>
        </is>
      </c>
      <c r="B5" s="49">
        <f>(wholesale!B5)*2</f>
        <v/>
      </c>
      <c r="C5" s="49">
        <f>(wholesale!C5)*2</f>
        <v/>
      </c>
      <c r="D5" s="49">
        <f>(wholesale!D5)*2</f>
        <v/>
      </c>
    </row>
    <row r="6" customFormat="1" s="18">
      <c r="A6" s="35" t="inlineStr">
        <is>
          <t>1 3/4" SC Flush &amp; Molded, Flush Fiberglass or Steel</t>
        </is>
      </c>
      <c r="B6" s="49">
        <f>(wholesale!B6)*2</f>
        <v/>
      </c>
      <c r="C6" s="49">
        <f>(wholesale!C6)*2</f>
        <v/>
      </c>
      <c r="D6" s="49">
        <f>(wholesale!D6)*2</f>
        <v/>
      </c>
    </row>
    <row r="7">
      <c r="A7" s="35" t="inlineStr">
        <is>
          <t>1 3/4" Stile &amp; Rail and Fiberglass Entry Doors</t>
        </is>
      </c>
      <c r="B7" s="49">
        <f>(wholesale!B7)*2</f>
        <v/>
      </c>
      <c r="C7" s="49">
        <f>(wholesale!C7)*2</f>
        <v/>
      </c>
      <c r="D7" s="49">
        <f>(wholesale!D7)*2</f>
        <v/>
      </c>
    </row>
    <row r="8" customFormat="1" s="18">
      <c r="A8" s="35" t="inlineStr">
        <is>
          <t>Prefinished 1 3/4" Stile &amp; Rail Entry Doors</t>
        </is>
      </c>
      <c r="B8" s="49">
        <f>(wholesale!B8)*2</f>
        <v/>
      </c>
      <c r="C8" s="49">
        <f>(wholesale!C8)*2</f>
        <v/>
      </c>
      <c r="D8" s="49">
        <f>(wholesale!D8)*2</f>
        <v/>
      </c>
    </row>
    <row r="9">
      <c r="A9" s="32" t="inlineStr">
        <is>
          <t>Call for details on all prefinished doors</t>
        </is>
      </c>
      <c r="B9" s="34" t="inlineStr">
        <is>
          <t>CALL</t>
        </is>
      </c>
      <c r="C9" s="34" t="inlineStr">
        <is>
          <t>FOR</t>
        </is>
      </c>
      <c r="D9" s="34" t="inlineStr">
        <is>
          <t>QUOTE</t>
        </is>
      </c>
    </row>
    <row r="10" customFormat="1" s="18">
      <c r="A10" s="25" t="n"/>
      <c r="B10" s="49" t="n"/>
      <c r="C10" s="49" t="n"/>
      <c r="D10" s="31" t="n"/>
    </row>
    <row r="11">
      <c r="A11" s="25" t="inlineStr">
        <is>
          <t>MISC. OPTIONS</t>
        </is>
      </c>
      <c r="B11" s="49" t="n"/>
      <c r="C11" s="49" t="n"/>
      <c r="D11" s="31" t="n"/>
    </row>
    <row r="12" customFormat="1" s="18">
      <c r="A12" s="25" t="n"/>
      <c r="C12" s="31" t="n"/>
      <c r="D12" s="31" t="n"/>
    </row>
    <row r="13">
      <c r="A13" s="32" t="inlineStr">
        <is>
          <t>Prep &amp; Install Roller Catches, each</t>
        </is>
      </c>
      <c r="B13" s="49">
        <f>(wholesale!B13)*2</f>
        <v/>
      </c>
      <c r="C13" s="49">
        <f>(wholesale!C13)*2</f>
        <v/>
      </c>
      <c r="D13" s="49">
        <f>(wholesale!D13)*2</f>
        <v/>
      </c>
    </row>
    <row r="14" customFormat="1" s="18">
      <c r="A14" s="32" t="inlineStr">
        <is>
          <t>Install 1 3/8" FJ Pine T-Astragal</t>
        </is>
      </c>
      <c r="B14" s="49">
        <f>(wholesale!B14)*2</f>
        <v/>
      </c>
      <c r="C14" s="49">
        <f>(wholesale!C14)*2</f>
        <v/>
      </c>
      <c r="D14" s="49">
        <f>(wholesale!D14)*2</f>
        <v/>
      </c>
    </row>
    <row r="15">
      <c r="A15" s="32" t="inlineStr">
        <is>
          <t>Install 1 3/8" Fir T-Astragal</t>
        </is>
      </c>
      <c r="B15" s="49">
        <f>(wholesale!B15)*2</f>
        <v/>
      </c>
      <c r="C15" s="49">
        <f>(wholesale!C15)*2</f>
        <v/>
      </c>
      <c r="D15" s="49">
        <f>(wholesale!D15)*2</f>
        <v/>
      </c>
    </row>
    <row r="16" customFormat="1" s="18">
      <c r="A16" s="32" t="inlineStr">
        <is>
          <t>Install 1 3/8" Oak T-Astragal</t>
        </is>
      </c>
      <c r="B16" s="49">
        <f>(wholesale!B16)*2</f>
        <v/>
      </c>
      <c r="C16" s="49">
        <f>(wholesale!C16)*2</f>
        <v/>
      </c>
      <c r="D16" s="49">
        <f>(wholesale!D16)*2</f>
        <v/>
      </c>
    </row>
    <row r="17">
      <c r="A17" s="32" t="inlineStr">
        <is>
          <t>Install 1 3/4" Non-Kerft Fir T-Astragal</t>
        </is>
      </c>
      <c r="B17" s="49">
        <f>(wholesale!B17)*2</f>
        <v/>
      </c>
      <c r="C17" s="49">
        <f>(wholesale!C17)*2</f>
        <v/>
      </c>
      <c r="D17" s="49">
        <f>(wholesale!D17)*2</f>
        <v/>
      </c>
    </row>
    <row r="18" customFormat="1" s="18">
      <c r="A18" s="32" t="inlineStr">
        <is>
          <t>Install 1 3/4" Kerft Fir T-Astragal</t>
        </is>
      </c>
      <c r="B18" s="49">
        <f>(wholesale!B18)*2</f>
        <v/>
      </c>
      <c r="C18" s="49">
        <f>(wholesale!C18)*2</f>
        <v/>
      </c>
      <c r="D18" s="49">
        <f>(wholesale!D18)*2</f>
        <v/>
      </c>
    </row>
    <row r="19">
      <c r="A19" s="32" t="inlineStr">
        <is>
          <t>Mortise &amp; Install 6" Flushbolt, each</t>
        </is>
      </c>
      <c r="B19" s="49">
        <f>(wholesale!B19)*2</f>
        <v/>
      </c>
      <c r="C19" s="49">
        <f>(wholesale!C19)*2</f>
        <v/>
      </c>
      <c r="D19" s="49">
        <f>(wholesale!D19)*2</f>
        <v/>
      </c>
    </row>
    <row r="20" customFormat="1" s="18">
      <c r="A20" s="32" t="inlineStr">
        <is>
          <t>Mortise only for 6" Flushbolt</t>
        </is>
      </c>
      <c r="B20" s="49">
        <f>(wholesale!B20)*2</f>
        <v/>
      </c>
      <c r="C20" s="49">
        <f>(wholesale!C20)*2</f>
        <v/>
      </c>
      <c r="D20" s="49">
        <f>(wholesale!D20)*2</f>
        <v/>
      </c>
    </row>
    <row r="21">
      <c r="A21" s="32" t="inlineStr">
        <is>
          <t>Mortise &amp; Install 12" Extension Flushbolt, each</t>
        </is>
      </c>
      <c r="B21" s="49">
        <f>(wholesale!B21)*2</f>
        <v/>
      </c>
      <c r="C21" s="49">
        <f>(wholesale!C21)*2</f>
        <v/>
      </c>
      <c r="D21" s="49">
        <f>(wholesale!D21)*2</f>
        <v/>
      </c>
    </row>
    <row r="22" customFormat="1" s="18">
      <c r="A22" s="32" t="inlineStr">
        <is>
          <t>Bore Only for Latch or Deadbolt Lock</t>
        </is>
      </c>
      <c r="B22" s="49">
        <f>(wholesale!B22)*2</f>
        <v/>
      </c>
      <c r="C22" s="49">
        <f>(wholesale!C22)*2</f>
        <v/>
      </c>
      <c r="D22" s="49">
        <f>(wholesale!D22)*2</f>
        <v/>
      </c>
    </row>
    <row r="23">
      <c r="A23" s="32" t="inlineStr">
        <is>
          <t>Rip Door to Special Width - Per Cut</t>
        </is>
      </c>
      <c r="B23" s="49">
        <f>(wholesale!B23)*2</f>
        <v/>
      </c>
      <c r="C23" s="49">
        <f>(wholesale!C23)*2</f>
        <v/>
      </c>
      <c r="D23" s="49">
        <f>(wholesale!D23)*2</f>
        <v/>
      </c>
    </row>
    <row r="24" customFormat="1" s="18">
      <c r="A24" s="32" t="inlineStr">
        <is>
          <t>Remove Interior Hardware - Hinges &amp; Latch</t>
        </is>
      </c>
      <c r="B24" s="49">
        <f>(wholesale!B24)*2</f>
        <v/>
      </c>
      <c r="C24" s="49">
        <f>(wholesale!C24)*2</f>
        <v/>
      </c>
      <c r="D24" s="49">
        <f>(wholesale!D24)*2</f>
        <v/>
      </c>
    </row>
    <row r="25">
      <c r="A25" s="32" t="inlineStr">
        <is>
          <t>Reinstall Interior Hardware - Hinges &amp; Latch</t>
        </is>
      </c>
      <c r="B25" s="49">
        <f>(wholesale!B25)*2</f>
        <v/>
      </c>
      <c r="C25" s="49">
        <f>(wholesale!C25)*2</f>
        <v/>
      </c>
      <c r="D25" s="49">
        <f>(wholesale!D25)*2</f>
        <v/>
      </c>
    </row>
    <row r="26" customFormat="1" s="18">
      <c r="A26" s="32" t="inlineStr">
        <is>
          <t>Remove Exterior Hardware - Hinges, Latch &amp; Deadbolt</t>
        </is>
      </c>
      <c r="B26" s="49">
        <f>(wholesale!B26)*2</f>
        <v/>
      </c>
      <c r="C26" s="49">
        <f>(wholesale!C26)*2</f>
        <v/>
      </c>
      <c r="D26" s="49">
        <f>(wholesale!D26)*2</f>
        <v/>
      </c>
    </row>
    <row r="27">
      <c r="A27" s="32" t="inlineStr">
        <is>
          <t>Reinstall Exterior Hardware - Hinges, Latch &amp; Deadbolt</t>
        </is>
      </c>
      <c r="B27" s="49">
        <f>(wholesale!B27)*2</f>
        <v/>
      </c>
      <c r="C27" s="49">
        <f>(wholesale!C27)*2</f>
        <v/>
      </c>
      <c r="D27" s="49">
        <f>(wholesale!D27)*2</f>
        <v/>
      </c>
    </row>
    <row r="28" customFormat="1" s="18">
      <c r="A28" s="32" t="inlineStr">
        <is>
          <t>Prep for Special Lockset</t>
        </is>
      </c>
      <c r="B28" s="49" t="inlineStr">
        <is>
          <t>CALL</t>
        </is>
      </c>
      <c r="C28" s="34" t="inlineStr">
        <is>
          <t>FOR</t>
        </is>
      </c>
      <c r="D28" s="34" t="inlineStr">
        <is>
          <t>QUOTE</t>
        </is>
      </c>
    </row>
    <row r="29">
      <c r="A29" s="32" t="inlineStr">
        <is>
          <t>Mortise for Baldwin or Emtek Lockset</t>
        </is>
      </c>
      <c r="B29" s="49">
        <f>(wholesale!B29)*2</f>
        <v/>
      </c>
      <c r="C29" s="49">
        <f>(wholesale!C29)*2</f>
        <v/>
      </c>
      <c r="D29" s="49">
        <f>(wholesale!D29)*2</f>
        <v/>
      </c>
    </row>
    <row r="30" customFormat="1" s="18">
      <c r="A30" s="32" t="inlineStr">
        <is>
          <t>Match Special Custom Doors</t>
        </is>
      </c>
      <c r="B30" s="34" t="inlineStr">
        <is>
          <t>CALL</t>
        </is>
      </c>
      <c r="C30" s="34" t="inlineStr">
        <is>
          <t>FOR</t>
        </is>
      </c>
      <c r="D30" s="34" t="inlineStr">
        <is>
          <t>QUOTE</t>
        </is>
      </c>
    </row>
    <row r="31" ht="13.5" customHeight="1" s="43">
      <c r="A31" s="32" t="inlineStr">
        <is>
          <t>Mortise for Hinges - HC &amp; SC Flush &amp; Molded Doors</t>
        </is>
      </c>
      <c r="B31" s="49">
        <f>(wholesale!B31)*2</f>
        <v/>
      </c>
      <c r="C31" s="31">
        <f>(wholesale!C31)*2</f>
        <v/>
      </c>
      <c r="D31" s="31">
        <f>(wholesale!D31)*2</f>
        <v/>
      </c>
    </row>
    <row r="32" customFormat="1" s="18">
      <c r="A32" s="32" t="inlineStr">
        <is>
          <t>Mortise for Hinges,1 3/8 Stile &amp; Rail Doors</t>
        </is>
      </c>
      <c r="B32" s="49">
        <f>(wholesale!B32)*2</f>
        <v/>
      </c>
      <c r="C32" s="31">
        <f>(wholesale!C32)*2</f>
        <v/>
      </c>
      <c r="D32" s="31">
        <f>(wholesale!D32)*2</f>
        <v/>
      </c>
    </row>
    <row r="33">
      <c r="A33" s="32" t="inlineStr">
        <is>
          <t>Mortise for Hinges,1 3/4 Stile &amp; Rail Doors</t>
        </is>
      </c>
      <c r="B33" s="49">
        <f>(wholesale!B33)*2</f>
        <v/>
      </c>
      <c r="C33" s="31">
        <f>(wholesale!C33)*2</f>
        <v/>
      </c>
      <c r="D33" s="31">
        <f>(wholesale!D33)*2</f>
        <v/>
      </c>
    </row>
    <row r="34" customFormat="1" s="18">
      <c r="A34" s="32" t="inlineStr">
        <is>
          <t>Size &amp; Bevel Door up to 1/4"</t>
        </is>
      </c>
      <c r="B34" s="49">
        <f>(wholesale!B34)*2</f>
        <v/>
      </c>
      <c r="C34" s="31">
        <f>(wholesale!C34)*2</f>
        <v/>
      </c>
      <c r="D34" s="31">
        <f>(wholesale!D34)*2</f>
        <v/>
      </c>
    </row>
    <row r="35">
      <c r="A35" s="32" t="inlineStr">
        <is>
          <t>Mortise for Barn Door Guide</t>
        </is>
      </c>
      <c r="B35" s="49">
        <f>(wholesale!B35)*2</f>
        <v/>
      </c>
      <c r="C35" s="31">
        <f>(wholesale!C35)*2</f>
        <v/>
      </c>
      <c r="D35" s="31">
        <f>(wholesale!D35)*2</f>
        <v/>
      </c>
    </row>
    <row r="36" customFormat="1" s="18">
      <c r="A36" s="32" t="inlineStr">
        <is>
          <t>Door Disposal Fee*</t>
        </is>
      </c>
      <c r="B36" s="49">
        <f>(wholesale!B36)*2</f>
        <v/>
      </c>
      <c r="C36" s="31">
        <f>(wholesale!C36)*2</f>
        <v/>
      </c>
      <c r="D36" s="31">
        <f>(wholesale!D36)*2</f>
        <v/>
      </c>
    </row>
    <row r="37" customFormat="1" s="45">
      <c r="A37" s="32" t="inlineStr">
        <is>
          <t>*Disposal fee will be charged on all matches unless otherwise noted on order</t>
        </is>
      </c>
      <c r="B37" s="38" t="n"/>
      <c r="C37" s="34" t="n"/>
      <c r="D37" s="39" t="n"/>
      <c r="E37" s="45" t="n"/>
    </row>
    <row r="38" ht="12" customFormat="1" customHeight="1" s="18">
      <c r="A38" s="20" t="n"/>
      <c r="B38" s="21" t="n"/>
      <c r="C38" s="17" t="n"/>
      <c r="D38" s="19" t="n"/>
    </row>
    <row r="39" ht="13.15" customHeight="1" s="43">
      <c r="A39" s="14" t="n"/>
    </row>
    <row r="42">
      <c r="B42" s="49" t="n"/>
      <c r="C42" s="49" t="n"/>
    </row>
    <row r="43">
      <c r="A43" s="12" t="n"/>
      <c r="B43" s="49" t="n"/>
      <c r="C43" s="49" t="n"/>
    </row>
    <row r="44">
      <c r="B44" s="49" t="n"/>
      <c r="C44" s="49" t="n"/>
    </row>
    <row r="45">
      <c r="B45" s="8" t="n"/>
      <c r="C45" s="49" t="n"/>
    </row>
    <row r="46">
      <c r="B46" s="8" t="n"/>
      <c r="C46" s="49" t="n"/>
    </row>
    <row r="47">
      <c r="A47" s="13" t="n"/>
    </row>
    <row r="48">
      <c r="A48" s="32" t="inlineStr">
        <is>
          <t xml:space="preserve">                                                                                                Page 8</t>
        </is>
      </c>
    </row>
  </sheetData>
  <conditionalFormatting sqref="A2:E37">
    <cfRule type="expression" priority="1" dxfId="0">
      <formula>MOD(ROW(),2)=1</formula>
    </cfRule>
  </conditionalFormatting>
  <printOptions horizontalCentered="1" verticalCentered="1"/>
  <pageMargins left="0" right="0" top="1.28" bottom="1" header="0.5" footer="0.5"/>
  <pageSetup orientation="portrait"/>
  <headerFooter alignWithMargins="0">
    <oddHeader>&amp;L&amp;"Arial,Bold"A  BETTER  DOOR_x000a_&amp;C&amp;"Arial,Bold"MATCHING_x000a_INTERIOR AND EXTERIOR_x000a_DOORS_x000a_&amp;R&amp;"Arial,Bold"RETAIL PRICES_x000a_EFFECTIVE August 15, 2020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Rockafellow</dc:creator>
  <dcterms:created xsi:type="dcterms:W3CDTF">2004-06-16T21:25:00Z</dcterms:created>
  <dcterms:modified xsi:type="dcterms:W3CDTF">2020-07-28T21:50:18Z</dcterms:modified>
  <cp:lastModifiedBy>Margo</cp:lastModifiedBy>
  <cp:lastPrinted>2020-07-28T21:49:55Z</cp:lastPrinted>
</cp:coreProperties>
</file>